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One_Page_Dashboard" sheetId="1" r:id="rId1"/>
    <sheet name="Full_Dashboard" sheetId="2" r:id="rId2"/>
    <sheet name="Cohort_Heatmap" sheetId="3" r:id="rId3"/>
    <sheet name="About" sheetId="4" r:id="rId4"/>
    <sheet name="01_KPI_Summary" sheetId="5" r:id="rId5"/>
    <sheet name="02_Order_Status" sheetId="6" r:id="rId6"/>
    <sheet name="03_Monthly_Trend" sheetId="7" r:id="rId7"/>
    <sheet name="04_Yearly_Summary" sheetId="8" r:id="rId8"/>
    <sheet name="05_Weekday_Pattern" sheetId="9" r:id="rId9"/>
    <sheet name="06_Hourly_Pattern" sheetId="10" r:id="rId10"/>
    <sheet name="07_Category_Performance" sheetId="11" r:id="rId11"/>
    <sheet name="08_Pareto_ABC" sheetId="12" r:id="rId12"/>
    <sheet name="09_State_Performance" sheetId="13" r:id="rId13"/>
    <sheet name="10_Payment_Types" sheetId="14" r:id="rId14"/>
    <sheet name="11_Credit_Installments" sheetId="15" r:id="rId15"/>
    <sheet name="12_Delivery_Trend" sheetId="16" r:id="rId16"/>
    <sheet name="13_Late_vs_OnTime" sheetId="17" r:id="rId17"/>
    <sheet name="14_Delay_Buckets" sheetId="18" r:id="rId18"/>
    <sheet name="15_Top_Sellers" sheetId="19" r:id="rId19"/>
    <sheet name="16_Risky_Sellers" sheetId="20" r:id="rId20"/>
    <sheet name="17_Repeat_Customers" sheetId="21" r:id="rId21"/>
    <sheet name="18_Order_Frequency" sheetId="22" r:id="rId22"/>
    <sheet name="19_Cohort_Retention" sheetId="23" r:id="rId23"/>
    <sheet name="20_RFM_Segments" sheetId="24" r:id="rId24"/>
  </sheets>
  <definedNames>
    <definedName name="_xlnm.Print_Area" localSheetId="0">One_Page_Dashboard!$A$1:$N$35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<sst xmlns="http://schemas.openxmlformats.org/spreadsheetml/2006/main" count="820" uniqueCount="334">
  <si>
    <t>OLIST E-COMMERCE DASHBOARD</t>
  </si>
  <si>
    <t>Sep 2016 - Oct 2018  |  delivered orders  |  amounts in Brazilian Real (R$)</t>
  </si>
  <si>
    <t>TOTAL REVENUE</t>
  </si>
  <si>
    <t>DELIVERED ORDERS</t>
  </si>
  <si>
    <t>AVG ORDER VALUE</t>
  </si>
  <si>
    <t>AVG DELIVERY TIME</t>
  </si>
  <si>
    <t>LATE DELIVERY RATE</t>
  </si>
  <si>
    <t>AVG REVIEW SCORE</t>
  </si>
  <si>
    <t>Item sales, excluding freight</t>
  </si>
  <si>
    <t>Per delivered order</t>
  </si>
  <si>
    <t>Delivered after estimated date</t>
  </si>
  <si>
    <t>Average per order</t>
  </si>
  <si>
    <t>OLIST E-COMMERCE PERFORMANCE DASHBOARD</t>
  </si>
  <si>
    <t>Brazilian marketplace  |  Sep 2016 to Oct 2018  |  delivered orders only  |  amounts in Brazilian Real (R$)  |  Source: MySQL analysis of the Olist public dataset</t>
  </si>
  <si>
    <t>KEY INSIGHTS</t>
  </si>
  <si>
    <t>Definitions: Revenue = sum of item prices in delivered orders (freight excluded). Late = delivered on a date after the estimated delivery date. Customers are counted by customer_unique_id. See the About sheet.</t>
  </si>
  <si>
    <t>Customer retention by first-purchase month (cohort)</t>
  </si>
  <si>
    <t>Each row is a cohort of customers who first bought in that month. Columns show the % of that cohort who bought again N months later (month 0 = first purchase = 100%). Darker = higher retention.</t>
  </si>
  <si>
    <t>Months since first purchase</t>
  </si>
  <si>
    <t>Cohort</t>
  </si>
  <si>
    <t>Cohort size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</si>
  <si>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</si>
  <si>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</si>
  <si>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</si>
  <si>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</si>
  <si>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</si>
  <si>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</si>
  <si>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</si>
  <si>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</si>
  <si>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</si>
  <si>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</si>
  <si>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</si>
  <si>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</si>
  <si>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</si>
  <si>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</si>
  <si>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</si>
  <si>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</si>
  <si>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</si>
  <si>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</si>
  <si>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</si>
  <si>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</si>
  <si>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Reading the chart: retention after the first month is below 1% for almost every cohort, so almost no customers come back. This is the single biggest growth opportunity.</t>
  </si>
  <si>
    <t>About this workbook</t>
  </si>
  <si>
    <t>Project</t>
  </si>
  <si>
    <t>Olist E-commerce sales and delivery analysis (MySQL + Excel)</t>
  </si>
  <si>
    <t>Dataset</t>
  </si>
  <si>
    <t>Brazilian E-Commerce Public Dataset by Olist (Kaggle). 99,441 orders, Sep 2016 - Oct 2018.</t>
  </si>
  <si>
    <t>Currency</t>
  </si>
  <si>
    <t>Brazilian Real (R$).</t>
  </si>
  <si>
    <t>Revenue</t>
  </si>
  <si>
    <t>Sum of item prices in delivered orders. Freight is excluded.</t>
  </si>
  <si>
    <t>Late delivery</t>
  </si>
  <si>
    <t>Order delivered on a date after the estimated delivery date.</t>
  </si>
  <si>
    <t>Customers</t>
  </si>
  <si>
    <t>Counted by customer_unique_id (a customer_id is created per order).</t>
  </si>
  <si>
    <t>Review score</t>
  </si>
  <si>
    <t>Average of all reviews attached to an order.</t>
  </si>
  <si>
    <t>Data limits</t>
  </si>
  <si>
    <t>Sep-Dec 2016 and Sep-Oct 2018 contain very few orders, so charts focus on Jan 2017 - Aug 2018.</t>
  </si>
  <si>
    <t>Sheets</t>
  </si>
  <si>
    <t>Dashboard, Cohort_Heatmap, then 01 to 20 = one sheet per SQL query result, in the same order as 04_analysis_queries.sql.</t>
  </si>
  <si>
    <t>Charts</t>
  </si>
  <si>
    <t>All charts and KPI cards read from the numbered sheets, so they update if you paste new query results in the same layout.</t>
  </si>
  <si>
    <t>Headline KPIs for delivered orders</t>
  </si>
  <si>
    <t>Source: MySQL query result (01_KPI_Summary). Amounts in Brazilian Real (R$).</t>
  </si>
  <si>
    <t>delivered_orders</t>
  </si>
  <si>
    <t>unique_customers</t>
  </si>
  <si>
    <t>total_revenue</t>
  </si>
  <si>
    <t>total_freight</t>
  </si>
  <si>
    <t>avg_order_value</t>
  </si>
  <si>
    <t>avg_delivery_days</t>
  </si>
  <si>
    <t>avg_estimated_days</t>
  </si>
  <si>
    <t>late_delivery_pct</t>
  </si>
  <si>
    <t>avg_review_score</t>
  </si>
  <si>
    <t>Orders by status (all 99,441 orders)</t>
  </si>
  <si>
    <t>Source: MySQL query result (02_Order_Status). Amounts in Brazilian Real (R$).</t>
  </si>
  <si>
    <t>order_status</t>
  </si>
  <si>
    <t>orders</t>
  </si>
  <si>
    <t>pct_of_orders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</si>
  <si>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</si>
  <si>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</si>
  <si>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</si>
  <si>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</si>
  <si>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</si>
  <si>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</si>
  <si>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</si>
  <si>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</si>
  <si>
    <t>Monthly orders, revenue and month-over-month growth</t>
  </si>
  <si>
    <t>Source: MySQL query result (03_Monthly_Trend). Amounts in Brazilian Real (R$).</t>
  </si>
  <si>
    <t>purchase_month</t>
  </si>
  <si>
    <t>revenue</t>
  </si>
  <si>
    <t>revenue_mom_growth_pct</t>
  </si>
  <si>
    <t>cumulative_revenue</t>
  </si>
  <si>
    <t>2016-09</t>
  </si>
  <si>
    <t>2016-10</t>
  </si>
  <si>
    <t>2016-12</t>
  </si>
  <si>
    <t>Yearly summary</t>
  </si>
  <si>
    <t>Source: MySQL query result (04_Yearly_Summary). Amounts in Brazilian Real (R$).</t>
  </si>
  <si>
    <t>purchase_year</t>
  </si>
  <si>
    <t>Orders by weekday</t>
  </si>
  <si>
    <t>Source: MySQL query result (05_Weekday_Pattern). Amounts in Brazilian Real (R$).</t>
  </si>
  <si>
    <t>weekday_num</t>
  </si>
  <si>
    <t>weekday_name</t>
  </si>
  <si>
    <t>Monday</t>
  </si>
  <si>
    <t>Tuesday</t>
  </si>
  <si>
    <t>Wednesday</t>
  </si>
  <si>
    <t>Thursday</t>
  </si>
  <si>
    <t>Friday</t>
  </si>
  <si>
    <t>Saturday</t>
  </si>
  <si>
    <t>Sunday</t>
  </si>
  <si>
    <t>Orders by hour of day</t>
  </si>
  <si>
    <t>Source: MySQL query result (06_Hourly_Pattern). Amounts in Brazilian Real (R$).</t>
  </si>
  <si>
    <t>purchase_hour</t>
  </si>
  <si>
    <t>Revenue by product category</t>
  </si>
  <si>
    <t>Source: MySQL query result (07_Category_Performance). Amounts in Brazilian Real (R$).</t>
  </si>
  <si>
    <t>revenue_rank</t>
  </si>
  <si>
    <t>category</t>
  </si>
  <si>
    <t>units_sold</t>
  </si>
  <si>
    <t>revenue_share_pct</t>
  </si>
  <si>
    <t>avg_item_price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</si>
  <si>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</si>
  <si>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</si>
  <si>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</si>
  <si>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</si>
  <si>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</si>
  <si>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</si>
  <si>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</si>
  <si>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</si>
  <si>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</si>
  <si>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toys</t>
  </si>
  <si>
    <t>garden_tools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</si>
  <si>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</si>
  <si>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</si>
  <si>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</si>
  <si>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</si>
  <si>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</si>
  <si>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</si>
  <si>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</si>
  <si>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</si>
  <si>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</si>
  <si>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unknown</t>
  </si>
  <si>
    <t>electronics</t>
  </si>
  <si>
    <t>fashion_bags_accessories</t>
  </si>
  <si>
    <t>consoles_games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</si>
  <si>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</si>
  <si>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</si>
  <si>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</si>
  <si>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</si>
  <si>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</si>
  <si>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</si>
  <si>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</si>
  <si>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home_confort</t>
  </si>
  <si>
    <t>fixed_telephony</t>
  </si>
  <si>
    <t>air_conditioning</t>
  </si>
  <si>
    <t>audio</t>
  </si>
  <si>
    <t>small_appliances_home_oven_and_coffee</t>
  </si>
  <si>
    <t>kitchen_dining_laundry_garden_furniture</t>
  </si>
  <si>
    <t>books_general_interest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</si>
  <si>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</si>
  <si>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</si>
  <si>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</si>
  <si>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</si>
  <si>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</si>
  <si>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</si>
  <si>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</si>
  <si>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</si>
  <si>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</si>
  <si>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</si>
  <si>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</si>
  <si>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</si>
  <si>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costruction_tools_tools</t>
  </si>
  <si>
    <t>food_drink</t>
  </si>
  <si>
    <t>fashion_male_clothing</t>
  </si>
  <si>
    <t>fashion_underwear_beach</t>
  </si>
  <si>
    <t>christmas_supplies</t>
  </si>
  <si>
    <t>tablets_printing_image</t>
  </si>
  <si>
    <t>cine_photo</t>
  </si>
  <si>
    <t>music</t>
  </si>
  <si>
    <t>dvds_blu_ray</t>
  </si>
  <si>
    <t>party_supplies</t>
  </si>
  <si>
    <t>books_imported</t>
  </si>
  <si>
    <t>furniture_mattress_and_upholstery</t>
  </si>
  <si>
    <t>portable_kitchen_food_preparers</t>
  </si>
  <si>
    <t>fashio_female_clothing</t>
  </si>
  <si>
    <t>fashion_sport</t>
  </si>
  <si>
    <t>la_cuisine</t>
  </si>
  <si>
    <t>arts_and_craftmanship</t>
  </si>
  <si>
    <t>diapers_and_hygiene</t>
  </si>
  <si>
    <t>pc_gamer</t>
  </si>
  <si>
    <t>flowers</t>
  </si>
  <si>
    <t>home_comfort_2</t>
  </si>
  <si>
    <t>cds_dvds_musicals</t>
  </si>
  <si>
    <t>fashion_childrens_clothes</t>
  </si>
  <si>
    <t>security_and_services</t>
  </si>
  <si>
    <t>Pareto (80/20) and ABC class by category</t>
  </si>
  <si>
    <t>Source: MySQL query result (08_Pareto_ABC). Amounts in Brazilian Real (R$).</t>
  </si>
  <si>
    <t>share_pct</t>
  </si>
  <si>
    <t>cumulative_pct</t>
  </si>
  <si>
    <t>abc_class</t>
  </si>
  <si>
    <t>A</t>
  </si>
  <si>
    <t>B</t>
  </si>
  <si>
    <t>C</t>
  </si>
  <si>
    <t>Performance by customer state</t>
  </si>
  <si>
    <t>Late % ranking (states with 500+ orders)</t>
  </si>
  <si>
    <t>Source: MySQL query result (09_State_Performance). Amounts in Brazilian Real (R$).</t>
  </si>
  <si>
    <t>customer_state</t>
  </si>
  <si>
    <t>customers</t>
  </si>
  <si>
    <t>freight_pct_of_revenue</t>
  </si>
  <si>
    <t>state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</si>
  <si>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</si>
  <si>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</si>
  <si>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</si>
  <si>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</si>
  <si>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</si>
  <si>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</si>
  <si>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</si>
  <si>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</si>
  <si>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</si>
  <si>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</si>
  <si>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</si>
  <si>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</si>
  <si>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</si>
  <si>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</si>
  <si>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</si>
  <si>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</si>
  <si>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</si>
  <si>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</si>
  <si>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</si>
  <si>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</si>
  <si>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</si>
  <si>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</si>
  <si>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</si>
  <si>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</si>
  <si>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</si>
  <si>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</si>
  <si>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</si>
  <si>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Payment method mix</t>
  </si>
  <si>
    <t>Source: MySQL query result (10_Payment_Types). Amounts in Brazilian Real (R$).</t>
  </si>
  <si>
    <t>payment_type</t>
  </si>
  <si>
    <t>total_value</t>
  </si>
  <si>
    <t>value_share_pct</t>
  </si>
  <si>
    <t>avg_payment_value</t>
  </si>
  <si>
    <t>credit_card</t>
  </si>
  <si>
    <t>boleto</t>
  </si>
  <si>
    <t>voucher</t>
  </si>
  <si>
    <t>debit_card</t>
  </si>
  <si>
    <t>Credit card installment groups</t>
  </si>
  <si>
    <t>Source: MySQL query result (11_Credit_Installments). Amounts in Brazilian Real (R$).</t>
  </si>
  <si>
    <t>installment_group</t>
  </si>
  <si>
    <t>payments</t>
  </si>
  <si>
    <t>1 (pay in full)</t>
  </si>
  <si>
    <t>2-3</t>
  </si>
  <si>
    <t>4-6</t>
  </si>
  <si>
    <t>7-10</t>
  </si>
  <si>
    <t>11+</t>
  </si>
  <si>
    <t>Delivery time and late % by month</t>
  </si>
  <si>
    <t>Source: MySQL query result (12_Delivery_Trend). Amounts in Brazilian Real (R$).</t>
  </si>
  <si>
    <t>Customer review: late vs on-time delivery</t>
  </si>
  <si>
    <t>Source: MySQL query result (13_Late_vs_OnTime). Amounts in Brazilian Real (R$).</t>
  </si>
  <si>
    <t>delivery_outcome</t>
  </si>
  <si>
    <t>pct_negative_reviews</t>
  </si>
  <si>
    <t>On time / early</t>
  </si>
  <si>
    <t>Late</t>
  </si>
  <si>
    <t>Review score by delivery delay bucket</t>
  </si>
  <si>
    <t>Source: MySQL query result (14_Delay_Buckets). Amounts in Brazilian Real (R$).</t>
  </si>
  <si>
    <t>sort_no</t>
  </si>
  <si>
    <t>delivery_bucket</t>
  </si>
  <si>
    <t>short_label</t>
  </si>
  <si>
    <t>1. Very early (8+ days before estimate)</t>
  </si>
  <si>
    <t>2. Early (1-7 days before estimate)</t>
  </si>
  <si>
    <t>3. On the estimated date</t>
  </si>
  <si>
    <t>4. Late 1-3 days</t>
  </si>
  <si>
    <t>5. Late 4-7 days</t>
  </si>
  <si>
    <t>6. Late 8+ days</t>
  </si>
  <si>
    <t>Top 10 sellers by revenue</t>
  </si>
  <si>
    <t>Source: MySQL query result (15_Top_Sellers). Amounts in Brazilian Real (R$).</t>
  </si>
  <si>
    <t>seller_id</t>
  </si>
  <si>
    <t>seller_state</t>
  </si>
  <si>
    <t>late_item_pct</t>
  </si>
  <si>
    <t>4869f7a5dfa277a7dca6462dcf3b52b2</t>
  </si>
  <si>
    <t>53243585a1d6dc2643021fd1853d8905</t>
  </si>
  <si>
    <t>4a3ca9315b744ce9f8e9374361493884</t>
  </si>
  <si>
    <t>fa1c13f2614d7b5c4749cbc52fecda94</t>
  </si>
  <si>
    <t>7c67e1448b00f6e969d365cea6b010ab</t>
  </si>
  <si>
    <t>7e93a43ef30c4f03f38b393420bc753a</t>
  </si>
  <si>
    <t>da8622b14eb17ae2831f4ac5b9dab84a</t>
  </si>
  <si>
    <t>7a67c85e85bb2ce8582c35f2203ad736</t>
  </si>
  <si>
    <t>1025f0e2d44d7041d6cf58b6550e0bfa</t>
  </si>
  <si>
    <t>955fee9216a65b617aa5c0531780ce60</t>
  </si>
  <si>
    <t>10 lowest-rated sellers (30+ orders)</t>
  </si>
  <si>
    <t>Source: MySQL query result (16_Risky_Sellers). Amounts in Brazilian Real (R$).</t>
  </si>
  <si>
    <t>1ca7077d890b907f89be8c954a02686a</t>
  </si>
  <si>
    <t>2eb70248d66e0e3ef83659f71b244378</t>
  </si>
  <si>
    <t>972d0f9cf61b499a4812cf0bfa3ad3c4</t>
  </si>
  <si>
    <t>a49928bcdf77c55c6d6e05e09a9b4ca5</t>
  </si>
  <si>
    <t>8e6d7754bc7e0f22c96d255ebda59eba</t>
  </si>
  <si>
    <t>2a1348e9addc1af5aaa619b1a3679d6b</t>
  </si>
  <si>
    <t>602044f2c16190c2c6e45eb35c2e21cb</t>
  </si>
  <si>
    <t>bbad7e518d7af88a0897397ffdca1979</t>
  </si>
  <si>
    <t>54965bbe3e4f07ae045b90b0b8541f52</t>
  </si>
  <si>
    <t>5058e8c1e82653974541e83690655b4a</t>
  </si>
  <si>
    <t>Repeat customer rate</t>
  </si>
  <si>
    <t>Source: MySQL query result (17_Repeat_Customers). Amounts in Brazilian Real (R$).</t>
  </si>
  <si>
    <t>total_customers</t>
  </si>
  <si>
    <t>repeat_customers</t>
  </si>
  <si>
    <t>repeat_rate_pct</t>
  </si>
  <si>
    <t>Customers by number of orders</t>
  </si>
  <si>
    <t>Source: MySQL query result (18_Order_Frequency). Amounts in Brazilian Real (R$).</t>
  </si>
  <si>
    <t>orders_placed</t>
  </si>
  <si>
    <t>pct_of_customers</t>
  </si>
  <si>
    <t>1</t>
  </si>
  <si>
    <t>2</t>
  </si>
  <si>
    <t>3</t>
  </si>
  <si>
    <t>4+</t>
  </si>
  <si>
    <t>Cohort retention (customers returning after first purchase month)</t>
  </si>
  <si>
    <t>Source: MySQL query result (19_Cohort_Retention). Amounts in Brazilian Real (R$).</t>
  </si>
  <si>
    <t>cohort_month</t>
  </si>
  <si>
    <t>month_index</t>
  </si>
  <si>
    <t>active_customers</t>
  </si>
  <si>
    <t>retention_pct</t>
  </si>
  <si>
    <t>RFM customer segments</t>
  </si>
  <si>
    <t>Source: MySQL query result (20_RFM_Segments). Amounts in Brazilian Real (R$).</t>
  </si>
  <si>
    <t>segment</t>
  </si>
  <si>
    <t>avg_recency_days</t>
  </si>
  <si>
    <t>avg_orders</t>
  </si>
  <si>
    <t>avg_spend</t>
  </si>
  <si>
    <t>pct_of_revenue</t>
  </si>
  <si>
    <t>short_segment</t>
  </si>
  <si>
    <t>Champions (recent, high spend)</t>
  </si>
  <si>
    <t>At risk big spenders</t>
  </si>
  <si>
    <t>Needs attention</t>
  </si>
  <si>
    <t>Promising (recent, lower spend)</t>
  </si>
  <si>
    <t>Lost / low value</t>
  </si>
  <si>
    <t>Loyal repeat buyers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</si>
</sst>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&quot;%&quot;"/>
    <numFmt numFmtId="181" formatCode="&quot;R$ &quot;0.0,,&quot;M&quot;"/>
    <numFmt numFmtId="182" formatCode="&quot;R$ &quot;0.00"/>
    <numFmt numFmtId="183" formatCode="0.0&quot; days&quot;"/>
    <numFmt numFmtId="184" formatCode="0.00&quot; / 5&quot;"/>
  </numFmts>
  <fonts count="44">
    <font>
      <sz val="11"/>
      <color theme="1"/>
      <name val="Calibri"/>
      <charset val="134"/>
      <scheme val="minor"/>
    </font>
    <font>
      <b/>
      <sz val="13"/>
      <color rgb="FF1F3864"/>
      <name val="Arial"/>
      <charset val="134"/>
    </font>
    <font>
      <i/>
      <sz val="9"/>
      <color rgb="FF7F7F7F"/>
      <name val="Arial"/>
      <charset val="134"/>
    </font>
    <font>
      <b/>
      <sz val="10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color rgb="FF1F3864"/>
      <name val="Arial"/>
      <charset val="134"/>
    </font>
    <font>
      <b/>
      <sz val="14"/>
      <color rgb="FF1F3864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0"/>
      <color rgb="FF1F3864"/>
      <name val="Arial"/>
      <charset val="134"/>
    </font>
    <font>
      <sz val="9"/>
      <name val="Arial"/>
      <charset val="134"/>
    </font>
    <font>
      <b/>
      <sz val="10"/>
      <color rgb="FFED7D31"/>
      <name val="Arial"/>
      <charset val="134"/>
    </font>
    <font>
      <b/>
      <sz val="22"/>
      <color rgb="FFFFFFFF"/>
      <name val="Arial"/>
      <charset val="134"/>
    </font>
    <font>
      <b/>
      <sz val="9"/>
      <color rgb="FFFFFFFF"/>
      <name val="Arial"/>
      <charset val="134"/>
    </font>
    <font>
      <b/>
      <sz val="20"/>
      <color rgb="FF1F3864"/>
      <name val="Arial"/>
      <charset val="134"/>
    </font>
    <font>
      <b/>
      <sz val="20"/>
      <color rgb="FFED7D31"/>
      <name val="Arial"/>
      <charset val="134"/>
    </font>
    <font>
      <sz val="8"/>
      <color rgb="FF7F7F7F"/>
      <name val="Arial"/>
      <charset val="134"/>
    </font>
    <font>
      <i/>
      <sz val="8"/>
      <color rgb="FF7F7F7F"/>
      <name val="Arial"/>
      <charset val="134"/>
    </font>
    <font>
      <b/>
      <sz val="18"/>
      <color rgb="FFFFFFFF"/>
      <name val="Arial"/>
      <charset val="134"/>
    </font>
    <font>
      <b/>
      <sz val="8"/>
      <color rgb="FFFFFFFF"/>
      <name val="Arial"/>
      <charset val="134"/>
    </font>
    <font>
      <b/>
      <sz val="16"/>
      <color rgb="FF1F3864"/>
      <name val="Arial"/>
      <charset val="134"/>
    </font>
    <font>
      <b/>
      <sz val="16"/>
      <color rgb="FFED7D31"/>
      <name val="Arial"/>
      <charset val="134"/>
    </font>
    <font>
      <sz val="7"/>
      <color rgb="FF7F7F7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8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6" borderId="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7" borderId="6" applyNumberFormat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5" fillId="8" borderId="6" applyNumberFormat="0" applyAlignment="0" applyProtection="0">
      <alignment vertical="center"/>
    </xf>
    <xf numFmtId="0" fontId="36" fillId="9" borderId="8" applyNumberFormat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2" borderId="0" xfId="0" applyFont="1" applyFill="1"/>
    <xf numFmtId="0" fontId="5" fillId="0" borderId="0" xfId="0" applyFont="1"/>
    <xf numFmtId="3" fontId="5" fillId="0" borderId="0" xfId="0" applyNumberFormat="1" applyFont="1"/>
    <xf numFmtId="2" fontId="5" fillId="0" borderId="0" xfId="0" applyNumberFormat="1" applyFont="1"/>
    <xf numFmtId="4" fontId="5" fillId="0" borderId="0" xfId="0" applyNumberFormat="1" applyFont="1"/>
    <xf numFmtId="1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4" fillId="3" borderId="0" xfId="0" applyFont="1" applyFill="1" applyAlignment="1">
      <alignment horizontal="center"/>
    </xf>
    <xf numFmtId="3" fontId="0" fillId="0" borderId="0" xfId="0" applyNumberFormat="1"/>
    <xf numFmtId="180" fontId="11" fillId="0" borderId="0" xfId="0" applyNumberFormat="1" applyFont="1" applyAlignment="1">
      <alignment horizontal="center"/>
    </xf>
    <xf numFmtId="0" fontId="12" fillId="0" borderId="0" xfId="0" applyFont="1"/>
    <xf numFmtId="0" fontId="13" fillId="3" borderId="0" xfId="0" applyFont="1" applyFill="1" applyAlignment="1">
      <alignment horizontal="left" vertical="center" indent="1"/>
    </xf>
    <xf numFmtId="0" fontId="2" fillId="0" borderId="0" xfId="0" applyFont="1" applyAlignment="1">
      <alignment indent="1"/>
    </xf>
    <xf numFmtId="0" fontId="14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81" fontId="15" fillId="4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3" fontId="15" fillId="4" borderId="1" xfId="0" applyNumberFormat="1" applyFont="1" applyFill="1" applyBorder="1" applyAlignment="1">
      <alignment horizontal="center" vertical="center"/>
    </xf>
    <xf numFmtId="182" fontId="15" fillId="4" borderId="1" xfId="0" applyNumberFormat="1" applyFont="1" applyFill="1" applyBorder="1" applyAlignment="1">
      <alignment horizontal="center" vertical="center"/>
    </xf>
    <xf numFmtId="183" fontId="15" fillId="4" borderId="1" xfId="0" applyNumberFormat="1" applyFont="1" applyFill="1" applyBorder="1" applyAlignment="1">
      <alignment horizontal="center" vertical="center"/>
    </xf>
    <xf numFmtId="180" fontId="16" fillId="4" borderId="1" xfId="0" applyNumberFormat="1" applyFont="1" applyFill="1" applyBorder="1" applyAlignment="1">
      <alignment horizontal="center" vertical="center"/>
    </xf>
    <xf numFmtId="184" fontId="15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 wrapText="1" indent="1"/>
    </xf>
    <xf numFmtId="0" fontId="0" fillId="4" borderId="0" xfId="0" applyFill="1"/>
    <xf numFmtId="0" fontId="5" fillId="5" borderId="0" xfId="0" applyFont="1" applyFill="1" applyAlignment="1">
      <alignment vertical="center" wrapText="1" indent="1"/>
    </xf>
    <xf numFmtId="0" fontId="0" fillId="5" borderId="0" xfId="0" applyFill="1"/>
    <xf numFmtId="0" fontId="18" fillId="0" borderId="0" xfId="0" applyFont="1"/>
    <xf numFmtId="0" fontId="19" fillId="3" borderId="0" xfId="0" applyFont="1" applyFill="1" applyAlignment="1">
      <alignment horizontal="left" vertical="center" indent="1"/>
    </xf>
    <xf numFmtId="0" fontId="18" fillId="0" borderId="0" xfId="0" applyFont="1" applyAlignment="1">
      <alignment indent="1"/>
    </xf>
    <xf numFmtId="0" fontId="20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81" fontId="21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21" fillId="4" borderId="1" xfId="0" applyNumberFormat="1" applyFont="1" applyFill="1" applyBorder="1" applyAlignment="1">
      <alignment horizontal="center" vertical="center"/>
    </xf>
    <xf numFmtId="182" fontId="21" fillId="4" borderId="1" xfId="0" applyNumberFormat="1" applyFont="1" applyFill="1" applyBorder="1" applyAlignment="1">
      <alignment horizontal="center" vertical="center"/>
    </xf>
    <xf numFmtId="183" fontId="21" fillId="4" borderId="1" xfId="0" applyNumberFormat="1" applyFont="1" applyFill="1" applyBorder="1" applyAlignment="1">
      <alignment horizontal="center" vertical="center"/>
    </xf>
    <xf numFmtId="180" fontId="22" fillId="4" borderId="1" xfId="0" applyNumberFormat="1" applyFont="1" applyFill="1" applyBorder="1" applyAlignment="1">
      <alignment horizontal="center" vertical="center"/>
    </xf>
    <xf numFmtId="184" fontId="21" fillId="4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 indent="1"/>
    </xf>
    <xf numFmtId="0" fontId="11" fillId="5" borderId="0" xfId="0" applyFont="1" applyFill="1" applyAlignment="1">
      <alignment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00" b="1">
                <a:solidFill>
                  <a:srgbClr val="1F3864"/>
                </a:solidFill>
              </a:rPr>
              <a:t>Monthly revenue (R$) and orders</a:t>
            </a:r>
            <a:endParaRPr sz="10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'03_Monthly_Trend'!$A$7:$A$26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'03_Monthly_Trend'!$C$7:$C$26</c:f>
              <c:numCache>
                <c:formatCode>#,##0.00</c:formatCode>
                <c:ptCount val="20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554699.7</c:v>
                </c:pt>
                <c:pt idx="8">
                  <c:v>607399.67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  <c:pt idx="12">
                  <c:v>924645</c:v>
                </c:pt>
                <c:pt idx="13">
                  <c:v>826437.13</c:v>
                </c:pt>
                <c:pt idx="14">
                  <c:v>953356.25</c:v>
                </c:pt>
                <c:pt idx="15">
                  <c:v>973534.09</c:v>
                </c:pt>
                <c:pt idx="16">
                  <c:v>977544.69</c:v>
                </c:pt>
                <c:pt idx="17">
                  <c:v>856077.86</c:v>
                </c:pt>
                <c:pt idx="18">
                  <c:v>867953.46</c:v>
                </c:pt>
                <c:pt idx="19">
                  <c:v>838576.64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ln w="2200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'03_Monthly_Trend'!$B$7:$B$26</c:f>
              <c:numCache>
                <c:formatCode>#,##0</c:formatCode>
                <c:ptCount val="20"/>
                <c:pt idx="0">
                  <c:v>750</c:v>
                </c:pt>
                <c:pt idx="1">
                  <c:v>1653</c:v>
                </c:pt>
                <c:pt idx="2">
                  <c:v>2546</c:v>
                </c:pt>
                <c:pt idx="3">
                  <c:v>2303</c:v>
                </c:pt>
                <c:pt idx="4">
                  <c:v>3546</c:v>
                </c:pt>
                <c:pt idx="5">
                  <c:v>3135</c:v>
                </c:pt>
                <c:pt idx="6">
                  <c:v>3872</c:v>
                </c:pt>
                <c:pt idx="7">
                  <c:v>4193</c:v>
                </c:pt>
                <c:pt idx="8">
                  <c:v>4150</c:v>
                </c:pt>
                <c:pt idx="9">
                  <c:v>4478</c:v>
                </c:pt>
                <c:pt idx="10">
                  <c:v>7289</c:v>
                </c:pt>
                <c:pt idx="11">
                  <c:v>5513</c:v>
                </c:pt>
                <c:pt idx="12">
                  <c:v>7069</c:v>
                </c:pt>
                <c:pt idx="13">
                  <c:v>6555</c:v>
                </c:pt>
                <c:pt idx="14">
                  <c:v>7003</c:v>
                </c:pt>
                <c:pt idx="15">
                  <c:v>6798</c:v>
                </c:pt>
                <c:pt idx="16">
                  <c:v>6749</c:v>
                </c:pt>
                <c:pt idx="17">
                  <c:v>6099</c:v>
                </c:pt>
                <c:pt idx="18">
                  <c:v>6159</c:v>
                </c:pt>
                <c:pt idx="19">
                  <c:v>6351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,&quot;K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066c5f-1657-4370-b545-fa945fa752d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00" b="1">
                <a:solidFill>
                  <a:srgbClr val="1F3864"/>
                </a:solidFill>
              </a:rPr>
              <a:t>KEY FINDING: review score by delivery delay</a:t>
            </a:r>
            <a:endParaRPr sz="10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"Avg review"</c:f>
              <c:strCache>
                <c:ptCount val="1"/>
                <c:pt idx="0">
                  <c:v>Avg review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>
                <a:noFill/>
                <a:prstDash val="solid"/>
              </a:ln>
            </c:spPr>
          </c:dPt>
          <c:dPt>
            <c:idx val="1"/>
            <c:invertIfNegative val="0"/>
            <c:bubble3D val="0"/>
            <c:spPr>
              <a:solidFill>
                <a:srgbClr val="2E75B6"/>
              </a:solidFill>
              <a:ln>
                <a:noFill/>
                <a:prstDash val="solid"/>
              </a:ln>
            </c:spPr>
          </c:dPt>
          <c:dPt>
            <c:idx val="2"/>
            <c:invertIfNegative val="0"/>
            <c:bubble3D val="0"/>
            <c:spPr>
              <a:solidFill>
                <a:srgbClr val="2E75B6"/>
              </a:solidFill>
              <a:ln>
                <a:noFill/>
                <a:prstDash val="solid"/>
              </a:ln>
            </c:spPr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'14_Delay_Buckets'!$H$4:$H$9</c:f>
              <c:strCache>
                <c:ptCount val="6"/>
                <c:pt idx="0">
                  <c:v>Very early</c:v>
                </c:pt>
                <c:pt idx="1">
                  <c:v>Early</c:v>
                </c:pt>
                <c:pt idx="2">
                  <c:v>On the estimated date</c:v>
                </c:pt>
                <c:pt idx="3">
                  <c:v>Late 1-3 days</c:v>
                </c:pt>
                <c:pt idx="4">
                  <c:v>Late 4-7 days</c:v>
                </c:pt>
                <c:pt idx="5">
                  <c:v>Late 8+ days</c:v>
                </c:pt>
              </c:strCache>
            </c:strRef>
          </c:cat>
          <c:val>
            <c:numRef>
              <c:f>'14_Delay_Buckets'!$D$4:$D$9</c:f>
              <c:numCache>
                <c:formatCode>0.00</c:formatCode>
                <c:ptCount val="6"/>
                <c:pt idx="0">
                  <c:v>4.32</c:v>
                </c:pt>
                <c:pt idx="1">
                  <c:v>4.2</c:v>
                </c:pt>
                <c:pt idx="2">
                  <c:v>4.04</c:v>
                </c:pt>
                <c:pt idx="3">
                  <c:v>3.29</c:v>
                </c:pt>
                <c:pt idx="4">
                  <c:v>2.11</c:v>
                </c:pt>
                <c:pt idx="5">
                  <c:v>1.7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5"/>
          <c:min val="0"/>
        </c:scaling>
        <c:delete val="0"/>
        <c:axPos val="b"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max"/>
        <c:crossBetween val="between"/>
        <c:majorUnit val="1"/>
      </c:valAx>
    </c:plotArea>
    <c:plotVisOnly val="1"/>
    <c:dispBlanksAs val="gap"/>
    <c:showDLblsOverMax val="0"/>
    <c:extLst>
      <c:ext uri="{0b15fc19-7d7d-44ad-8c2d-2c3a37ce22c3}">
        <chartProps xmlns="https://web.wps.cn/et/2018/main" chartId="{6a68fe18-c91b-41a1-8aae-2fa2413876b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00" b="1">
                <a:solidFill>
                  <a:srgbClr val="1F3864"/>
                </a:solidFill>
              </a:rPr>
              <a:t>Top 10 categories by revenue (R$)</a:t>
            </a:r>
            <a:endParaRPr sz="10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'07_Category_Performance'!$B$4:$B$13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'07_Category_Performance'!$E$4:$E$13</c:f>
              <c:numCache>
                <c:formatCode>#,##0.00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615628.69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#,##0,&quot;K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max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eb0d099-9c53-4796-9d31-c38baa311cc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00" b="1">
                <a:solidFill>
                  <a:srgbClr val="1F3864"/>
                </a:solidFill>
              </a:rPr>
              <a:t>Highest late-delivery % by state</a:t>
            </a:r>
            <a:endParaRPr sz="10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"Late %"</c:f>
              <c:strCache>
                <c:ptCount val="1"/>
                <c:pt idx="0">
                  <c:v>Late %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0"/>
          <c:dLbls>
            <c:numFmt formatCode="0.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'09_State_Performance'!$K$4:$K$13</c:f>
              <c:strCache>
                <c:ptCount val="10"/>
                <c:pt idx="0">
                  <c:v>MA</c:v>
                </c:pt>
                <c:pt idx="1">
                  <c:v>CE</c:v>
                </c:pt>
                <c:pt idx="2">
                  <c:v>BA</c:v>
                </c:pt>
                <c:pt idx="3">
                  <c:v>RJ</c:v>
                </c:pt>
                <c:pt idx="4">
                  <c:v>PA</c:v>
                </c:pt>
                <c:pt idx="5">
                  <c:v>ES</c:v>
                </c:pt>
                <c:pt idx="6">
                  <c:v>PB</c:v>
                </c:pt>
                <c:pt idx="7">
                  <c:v>MS</c:v>
                </c:pt>
                <c:pt idx="8">
                  <c:v>PE</c:v>
                </c:pt>
                <c:pt idx="9">
                  <c:v>SC</c:v>
                </c:pt>
              </c:strCache>
            </c:strRef>
          </c:cat>
          <c:val>
            <c:numRef>
              <c:f>'09_State_Performance'!$L$4:$L$13</c:f>
              <c:numCache>
                <c:formatCode>0.00</c:formatCode>
                <c:ptCount val="10"/>
                <c:pt idx="0">
                  <c:v>17.43</c:v>
                </c:pt>
                <c:pt idx="1">
                  <c:v>13.76</c:v>
                </c:pt>
                <c:pt idx="2">
                  <c:v>12.16</c:v>
                </c:pt>
                <c:pt idx="3">
                  <c:v>12.11</c:v>
                </c:pt>
                <c:pt idx="4">
                  <c:v>11.21</c:v>
                </c:pt>
                <c:pt idx="5">
                  <c:v>10.73</c:v>
                </c:pt>
                <c:pt idx="6">
                  <c:v>10.44</c:v>
                </c:pt>
                <c:pt idx="7">
                  <c:v>9.7</c:v>
                </c:pt>
                <c:pt idx="8">
                  <c:v>9.6</c:v>
                </c:pt>
                <c:pt idx="9">
                  <c:v>8.21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ad90be4-5337-4a93-b867-41e6bb921f5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00" b="1">
                <a:solidFill>
                  <a:srgbClr val="1F3864"/>
                </a:solidFill>
              </a:rPr>
              <a:t>Payment method share of value</a:t>
            </a:r>
            <a:endParaRPr sz="10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1F3864"/>
              </a:solidFill>
              <a:ln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A5A5A5"/>
              </a:solidFill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'10_Payment_Types'!$A$4:$A$7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f>'10_Payment_Types'!$D$4:$D$7</c:f>
              <c:numCache>
                <c:formatCode>0.00</c:formatCode>
                <c:ptCount val="4"/>
                <c:pt idx="0">
                  <c:v>78.46</c:v>
                </c:pt>
                <c:pt idx="1">
                  <c:v>17.96</c:v>
                </c:pt>
                <c:pt idx="2">
                  <c:v>2.22</c:v>
                </c:pt>
                <c:pt idx="3">
                  <c:v>1.35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46b469-77f8-4cd7-992f-e22a82b312b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00" b="1">
                <a:solidFill>
                  <a:srgbClr val="1F3864"/>
                </a:solidFill>
              </a:rPr>
              <a:t>RFM: % of customers vs % of revenue</a:t>
            </a:r>
            <a:endParaRPr sz="10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"% of customers"</c:f>
              <c:strCache>
                <c:ptCount val="1"/>
                <c:pt idx="0">
                  <c:v>% of customers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'20_RFM_Segments'!$J$4:$J$9</c:f>
              <c:strCache>
                <c:ptCount val="6"/>
                <c:pt idx="0">
                  <c:v>Champions</c:v>
                </c:pt>
                <c:pt idx="1">
                  <c:v>At risk big spenders</c:v>
                </c:pt>
                <c:pt idx="2">
                  <c:v>Needs attention</c:v>
                </c:pt>
                <c:pt idx="3">
                  <c:v>Promising</c:v>
                </c:pt>
                <c:pt idx="4">
                  <c:v>Lost / low value</c:v>
                </c:pt>
                <c:pt idx="5">
                  <c:v>Loyal repeat buyers</c:v>
                </c:pt>
              </c:strCache>
            </c:strRef>
          </c:cat>
          <c:val>
            <c:numRef>
              <c:f>'20_RFM_Segments'!$C$4:$C$9</c:f>
              <c:numCache>
                <c:formatCode>0.00</c:formatCode>
                <c:ptCount val="6"/>
                <c:pt idx="0">
                  <c:v>16.45</c:v>
                </c:pt>
                <c:pt idx="1">
                  <c:v>15.6</c:v>
                </c:pt>
                <c:pt idx="2">
                  <c:v>27.27</c:v>
                </c:pt>
                <c:pt idx="3">
                  <c:v>23.25</c:v>
                </c:pt>
                <c:pt idx="4">
                  <c:v>16.48</c:v>
                </c:pt>
                <c:pt idx="5">
                  <c:v>0.94</c:v>
                </c:pt>
              </c:numCache>
            </c:numRef>
          </c:val>
        </c:ser>
        <c:ser>
          <c:idx val="1"/>
          <c:order val="1"/>
          <c:tx>
            <c:strRef>
              <c:f>"% of revenue"</c:f>
              <c:strCache>
                <c:ptCount val="1"/>
                <c:pt idx="0">
                  <c:v>% of revenue</c:v>
                </c:pt>
              </c:strCache>
            </c:strRef>
          </c:tx>
          <c: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'20_RFM_Segments'!$J$4:$J$9</c:f>
              <c:strCache>
                <c:ptCount val="6"/>
                <c:pt idx="0">
                  <c:v>Champions</c:v>
                </c:pt>
                <c:pt idx="1">
                  <c:v>At risk big spenders</c:v>
                </c:pt>
                <c:pt idx="2">
                  <c:v>Needs attention</c:v>
                </c:pt>
                <c:pt idx="3">
                  <c:v>Promising</c:v>
                </c:pt>
                <c:pt idx="4">
                  <c:v>Lost / low value</c:v>
                </c:pt>
                <c:pt idx="5">
                  <c:v>Loyal repeat buyers</c:v>
                </c:pt>
              </c:strCache>
            </c:strRef>
          </c:cat>
          <c:val>
            <c:numRef>
              <c:f>'20_RFM_Segments'!$H$4:$H$9</c:f>
              <c:numCache>
                <c:formatCode>0.00</c:formatCode>
                <c:ptCount val="6"/>
                <c:pt idx="0">
                  <c:v>31.52</c:v>
                </c:pt>
                <c:pt idx="1">
                  <c:v>30.63</c:v>
                </c:pt>
                <c:pt idx="2">
                  <c:v>22.72</c:v>
                </c:pt>
                <c:pt idx="3">
                  <c:v>9.14</c:v>
                </c:pt>
                <c:pt idx="4">
                  <c:v>4.67</c:v>
                </c:pt>
                <c:pt idx="5">
                  <c:v>1.33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8d42a5-e40e-4698-8c3a-033c658ffaa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1F3864"/>
                </a:solidFill>
              </a:rPr>
              <a:t>Monthly revenue (R$) and orders, Jan 2017 - Aug 2018</a:t>
            </a:r>
            <a:endParaRPr sz="11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"Revenue (R$)"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'03_Monthly_Trend'!$A$7:$A$26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'03_Monthly_Trend'!$C$7:$C$26</c:f>
              <c:numCache>
                <c:formatCode>#,##0.00</c:formatCode>
                <c:ptCount val="20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554699.7</c:v>
                </c:pt>
                <c:pt idx="8">
                  <c:v>607399.67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  <c:pt idx="12">
                  <c:v>924645</c:v>
                </c:pt>
                <c:pt idx="13">
                  <c:v>826437.13</c:v>
                </c:pt>
                <c:pt idx="14">
                  <c:v>953356.25</c:v>
                </c:pt>
                <c:pt idx="15">
                  <c:v>973534.09</c:v>
                </c:pt>
                <c:pt idx="16">
                  <c:v>977544.69</c:v>
                </c:pt>
                <c:pt idx="17">
                  <c:v>856077.86</c:v>
                </c:pt>
                <c:pt idx="18">
                  <c:v>867953.46</c:v>
                </c:pt>
                <c:pt idx="19">
                  <c:v>838576.64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ln w="2800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'03_Monthly_Trend'!$B$7:$B$26</c:f>
              <c:numCache>
                <c:formatCode>#,##0</c:formatCode>
                <c:ptCount val="20"/>
                <c:pt idx="0">
                  <c:v>750</c:v>
                </c:pt>
                <c:pt idx="1">
                  <c:v>1653</c:v>
                </c:pt>
                <c:pt idx="2">
                  <c:v>2546</c:v>
                </c:pt>
                <c:pt idx="3">
                  <c:v>2303</c:v>
                </c:pt>
                <c:pt idx="4">
                  <c:v>3546</c:v>
                </c:pt>
                <c:pt idx="5">
                  <c:v>3135</c:v>
                </c:pt>
                <c:pt idx="6">
                  <c:v>3872</c:v>
                </c:pt>
                <c:pt idx="7">
                  <c:v>4193</c:v>
                </c:pt>
                <c:pt idx="8">
                  <c:v>4150</c:v>
                </c:pt>
                <c:pt idx="9">
                  <c:v>4478</c:v>
                </c:pt>
                <c:pt idx="10">
                  <c:v>7289</c:v>
                </c:pt>
                <c:pt idx="11">
                  <c:v>5513</c:v>
                </c:pt>
                <c:pt idx="12">
                  <c:v>7069</c:v>
                </c:pt>
                <c:pt idx="13">
                  <c:v>6555</c:v>
                </c:pt>
                <c:pt idx="14">
                  <c:v>7003</c:v>
                </c:pt>
                <c:pt idx="15">
                  <c:v>6798</c:v>
                </c:pt>
                <c:pt idx="16">
                  <c:v>6749</c:v>
                </c:pt>
                <c:pt idx="17">
                  <c:v>6099</c:v>
                </c:pt>
                <c:pt idx="18">
                  <c:v>6159</c:v>
                </c:pt>
                <c:pt idx="19">
                  <c:v>6351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,&quot;K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81e864-f988-4b37-aee2-3ce7b11576a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1F3864"/>
                </a:solidFill>
              </a:rPr>
              <a:t>Top 10 categories by revenue (R$)</a:t>
            </a:r>
            <a:endParaRPr sz="11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c:spPr>
          <c:invertIfNegative val="0"/>
          <c:dLbls>
            <c:numFmt formatCode="#,##0,&quot;K&quot;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'07_Category_Performance'!$B$4:$B$13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'07_Category_Performance'!$E$4:$E$13</c:f>
              <c:numCache>
                <c:formatCode>#,##0.00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615628.69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#,##0,&quot;K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max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b038744-daa4-47fb-9da1-744bbd916db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1F3864"/>
                </a:solidFill>
              </a:rPr>
              <a:t>KEY FINDING: avg review score by delivery delay</a:t>
            </a:r>
            <a:endParaRPr sz="11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"Avg review"</c:f>
              <c:strCache>
                <c:ptCount val="1"/>
                <c:pt idx="0">
                  <c:v>Avg review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>
                <a:noFill/>
                <a:prstDash val="solid"/>
              </a:ln>
            </c:spPr>
          </c:dPt>
          <c:dPt>
            <c:idx val="1"/>
            <c:invertIfNegative val="0"/>
            <c:bubble3D val="0"/>
            <c:spPr>
              <a:solidFill>
                <a:srgbClr val="2E75B6"/>
              </a:solidFill>
              <a:ln>
                <a:noFill/>
                <a:prstDash val="solid"/>
              </a:ln>
            </c:spPr>
          </c:dPt>
          <c:dPt>
            <c:idx val="2"/>
            <c:invertIfNegative val="0"/>
            <c:bubble3D val="0"/>
            <c:spPr>
              <a:solidFill>
                <a:srgbClr val="2E75B6"/>
              </a:solidFill>
              <a:ln>
                <a:noFill/>
                <a:prstDash val="solid"/>
              </a:ln>
            </c:spPr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Lbls>
            <c:numFmt formatCode="0.0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'14_Delay_Buckets'!$B$4:$B$9</c:f>
              <c:strCache>
                <c:ptCount val="6"/>
                <c:pt idx="0">
                  <c:v>1. Very early (8+ days before estimate)</c:v>
                </c:pt>
                <c:pt idx="1">
                  <c:v>2. Early (1-7 days before estimate)</c:v>
                </c:pt>
                <c:pt idx="2">
                  <c:v>3. On the estimated date</c:v>
                </c:pt>
                <c:pt idx="3">
                  <c:v>4. Late 1-3 days</c:v>
                </c:pt>
                <c:pt idx="4">
                  <c:v>5. Late 4-7 days</c:v>
                </c:pt>
                <c:pt idx="5">
                  <c:v>6. Late 8+ days</c:v>
                </c:pt>
              </c:strCache>
            </c:strRef>
          </c:cat>
          <c:val>
            <c:numRef>
              <c:f>'14_Delay_Buckets'!$D$4:$D$9</c:f>
              <c:numCache>
                <c:formatCode>0.00</c:formatCode>
                <c:ptCount val="6"/>
                <c:pt idx="0">
                  <c:v>4.32</c:v>
                </c:pt>
                <c:pt idx="1">
                  <c:v>4.2</c:v>
                </c:pt>
                <c:pt idx="2">
                  <c:v>4.04</c:v>
                </c:pt>
                <c:pt idx="3">
                  <c:v>3.29</c:v>
                </c:pt>
                <c:pt idx="4">
                  <c:v>2.11</c:v>
                </c:pt>
                <c:pt idx="5">
                  <c:v>1.7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5"/>
          <c:min val="0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max"/>
        <c:crossBetween val="between"/>
        <c:majorUnit val="1"/>
      </c:valAx>
    </c:plotArea>
    <c:plotVisOnly val="1"/>
    <c:dispBlanksAs val="gap"/>
    <c:showDLblsOverMax val="0"/>
    <c:extLst>
      <c:ext uri="{0b15fc19-7d7d-44ad-8c2d-2c3a37ce22c3}">
        <chartProps xmlns="https://web.wps.cn/et/2018/main" chartId="{27403c83-a63f-4a06-b648-d06ffa0dfab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1F3864"/>
                </a:solidFill>
              </a:rPr>
              <a:t>Actual vs estimated delivery days</a:t>
            </a:r>
            <a:endParaRPr sz="11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"Actual days"</c:f>
              <c:strCache>
                <c:ptCount val="1"/>
                <c:pt idx="0">
                  <c:v>Actual days</c:v>
                </c:pt>
              </c:strCache>
            </c:strRef>
          </c:tx>
          <c:spPr>
            <a:ln w="28000" cap="rnd" cmpd="sng" algn="ctr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'12_Delivery_Trend'!$A$7:$A$26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'12_Delivery_Trend'!$C$7:$C$26</c:f>
              <c:numCache>
                <c:formatCode>0.00</c:formatCode>
                <c:ptCount val="20"/>
                <c:pt idx="0">
                  <c:v>12.8</c:v>
                </c:pt>
                <c:pt idx="1">
                  <c:v>13.3</c:v>
                </c:pt>
                <c:pt idx="2">
                  <c:v>13</c:v>
                </c:pt>
                <c:pt idx="3">
                  <c:v>15</c:v>
                </c:pt>
                <c:pt idx="4">
                  <c:v>11.4</c:v>
                </c:pt>
                <c:pt idx="5">
                  <c:v>12</c:v>
                </c:pt>
                <c:pt idx="6">
                  <c:v>11.5</c:v>
                </c:pt>
                <c:pt idx="7">
                  <c:v>11</c:v>
                </c:pt>
                <c:pt idx="8">
                  <c:v>11.7</c:v>
                </c:pt>
                <c:pt idx="9">
                  <c:v>11.7</c:v>
                </c:pt>
                <c:pt idx="10">
                  <c:v>15.1</c:v>
                </c:pt>
                <c:pt idx="11">
                  <c:v>15.3</c:v>
                </c:pt>
                <c:pt idx="12">
                  <c:v>14</c:v>
                </c:pt>
                <c:pt idx="13">
                  <c:v>16.9</c:v>
                </c:pt>
                <c:pt idx="14">
                  <c:v>16.2</c:v>
                </c:pt>
                <c:pt idx="15">
                  <c:v>11.4</c:v>
                </c:pt>
                <c:pt idx="16">
                  <c:v>11.3</c:v>
                </c:pt>
                <c:pt idx="17">
                  <c:v>9.2</c:v>
                </c:pt>
                <c:pt idx="18">
                  <c:v>8.9</c:v>
                </c:pt>
                <c:pt idx="19">
                  <c:v>7.7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"Estimated days"</c:f>
              <c:strCache>
                <c:ptCount val="1"/>
                <c:pt idx="0">
                  <c:v>Estimated days</c:v>
                </c:pt>
              </c:strCache>
            </c:strRef>
          </c:tx>
          <c:spPr>
            <a:ln w="2800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'12_Delivery_Trend'!$A$7:$A$26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'12_Delivery_Trend'!$D$7:$D$26</c:f>
              <c:numCache>
                <c:formatCode>0.00</c:formatCode>
                <c:ptCount val="20"/>
                <c:pt idx="0">
                  <c:v>40.2</c:v>
                </c:pt>
                <c:pt idx="1">
                  <c:v>32.5</c:v>
                </c:pt>
                <c:pt idx="2">
                  <c:v>25.4</c:v>
                </c:pt>
                <c:pt idx="3">
                  <c:v>28</c:v>
                </c:pt>
                <c:pt idx="4">
                  <c:v>24.9</c:v>
                </c:pt>
                <c:pt idx="5">
                  <c:v>24.7</c:v>
                </c:pt>
                <c:pt idx="6">
                  <c:v>24</c:v>
                </c:pt>
                <c:pt idx="7">
                  <c:v>24.1</c:v>
                </c:pt>
                <c:pt idx="8">
                  <c:v>23.1</c:v>
                </c:pt>
                <c:pt idx="9">
                  <c:v>23.7</c:v>
                </c:pt>
                <c:pt idx="10">
                  <c:v>23.2</c:v>
                </c:pt>
                <c:pt idx="11">
                  <c:v>28.3</c:v>
                </c:pt>
                <c:pt idx="12">
                  <c:v>26.9</c:v>
                </c:pt>
                <c:pt idx="13">
                  <c:v>25.2</c:v>
                </c:pt>
                <c:pt idx="14">
                  <c:v>22.7</c:v>
                </c:pt>
                <c:pt idx="15">
                  <c:v>24.3</c:v>
                </c:pt>
                <c:pt idx="16">
                  <c:v>23.5</c:v>
                </c:pt>
                <c:pt idx="17">
                  <c:v>28.4</c:v>
                </c:pt>
                <c:pt idx="18">
                  <c:v>20.3</c:v>
                </c:pt>
                <c:pt idx="19">
                  <c:v>15.8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772d64-2e28-4518-a1d1-5dbe453db08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1F3864"/>
                </a:solidFill>
              </a:rPr>
              <a:t>Top 10 states by revenue (R$)</a:t>
            </a:r>
            <a:endParaRPr sz="11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'09_State_Performance'!$A$4:$A$13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'09_State_Performance'!$D$4:$D$13</c:f>
              <c:numCache>
                <c:formatCode>#,##0.00</c:formatCode>
                <c:ptCount val="10"/>
                <c:pt idx="0">
                  <c:v>5067633.16</c:v>
                </c:pt>
                <c:pt idx="1">
                  <c:v>1759651.13</c:v>
                </c:pt>
                <c:pt idx="2">
                  <c:v>1552481.83</c:v>
                </c:pt>
                <c:pt idx="3">
                  <c:v>728897.47</c:v>
                </c:pt>
                <c:pt idx="4">
                  <c:v>666063.51</c:v>
                </c:pt>
                <c:pt idx="5">
                  <c:v>507012.13</c:v>
                </c:pt>
                <c:pt idx="6">
                  <c:v>493584.14</c:v>
                </c:pt>
                <c:pt idx="7">
                  <c:v>296498.41</c:v>
                </c:pt>
                <c:pt idx="8">
                  <c:v>282836.7</c:v>
                </c:pt>
                <c:pt idx="9">
                  <c:v>268643.45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,&quot;K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d0a1195-1e46-43de-b79b-c7a61495b31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1F3864"/>
                </a:solidFill>
              </a:rPr>
              <a:t>Highest late-delivery % (states with 500+ orders)</a:t>
            </a:r>
            <a:endParaRPr sz="11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"Late %"</c:f>
              <c:strCache>
                <c:ptCount val="1"/>
                <c:pt idx="0">
                  <c:v>Late %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0"/>
          <c:dLbls>
            <c:numFmt formatCode="0.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'09_State_Performance'!$K$4:$K$13</c:f>
              <c:strCache>
                <c:ptCount val="10"/>
                <c:pt idx="0">
                  <c:v>MA</c:v>
                </c:pt>
                <c:pt idx="1">
                  <c:v>CE</c:v>
                </c:pt>
                <c:pt idx="2">
                  <c:v>BA</c:v>
                </c:pt>
                <c:pt idx="3">
                  <c:v>RJ</c:v>
                </c:pt>
                <c:pt idx="4">
                  <c:v>PA</c:v>
                </c:pt>
                <c:pt idx="5">
                  <c:v>ES</c:v>
                </c:pt>
                <c:pt idx="6">
                  <c:v>PB</c:v>
                </c:pt>
                <c:pt idx="7">
                  <c:v>MS</c:v>
                </c:pt>
                <c:pt idx="8">
                  <c:v>PE</c:v>
                </c:pt>
                <c:pt idx="9">
                  <c:v>SC</c:v>
                </c:pt>
              </c:strCache>
            </c:strRef>
          </c:cat>
          <c:val>
            <c:numRef>
              <c:f>'09_State_Performance'!$L$4:$L$13</c:f>
              <c:numCache>
                <c:formatCode>0.00</c:formatCode>
                <c:ptCount val="10"/>
                <c:pt idx="0">
                  <c:v>17.43</c:v>
                </c:pt>
                <c:pt idx="1">
                  <c:v>13.76</c:v>
                </c:pt>
                <c:pt idx="2">
                  <c:v>12.16</c:v>
                </c:pt>
                <c:pt idx="3">
                  <c:v>12.11</c:v>
                </c:pt>
                <c:pt idx="4">
                  <c:v>11.21</c:v>
                </c:pt>
                <c:pt idx="5">
                  <c:v>10.73</c:v>
                </c:pt>
                <c:pt idx="6">
                  <c:v>10.44</c:v>
                </c:pt>
                <c:pt idx="7">
                  <c:v>9.7</c:v>
                </c:pt>
                <c:pt idx="8">
                  <c:v>9.6</c:v>
                </c:pt>
                <c:pt idx="9">
                  <c:v>8.21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cfce9e9-d000-465e-88f5-e141257720f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1F3864"/>
                </a:solidFill>
              </a:rPr>
              <a:t>Payment method share of value</a:t>
            </a:r>
            <a:endParaRPr sz="11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1F3864"/>
              </a:solidFill>
              <a:ln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A5A5A5"/>
              </a:solidFill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'10_Payment_Types'!$A$4:$A$7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f>'10_Payment_Types'!$D$4:$D$7</c:f>
              <c:numCache>
                <c:formatCode>0.00</c:formatCode>
                <c:ptCount val="4"/>
                <c:pt idx="0">
                  <c:v>78.46</c:v>
                </c:pt>
                <c:pt idx="1">
                  <c:v>17.96</c:v>
                </c:pt>
                <c:pt idx="2">
                  <c:v>2.22</c:v>
                </c:pt>
                <c:pt idx="3">
                  <c:v>1.35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5fce01-29b5-42c8-96d7-1b66933361f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1F3864"/>
                </a:solidFill>
              </a:rPr>
              <a:t>RFM segments: % of customers vs % of revenue</a:t>
            </a:r>
            <a:endParaRPr sz="11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"% of customers"</c:f>
              <c:strCache>
                <c:ptCount val="1"/>
                <c:pt idx="0">
                  <c:v>% of customers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'20_RFM_Segments'!$A$4:$A$9</c:f>
              <c:strCache>
                <c:ptCount val="6"/>
                <c:pt idx="0">
                  <c:v>Champions (recent, high spend)</c:v>
                </c:pt>
                <c:pt idx="1">
                  <c:v>At risk big spenders</c:v>
                </c:pt>
                <c:pt idx="2">
                  <c:v>Needs attention</c:v>
                </c:pt>
                <c:pt idx="3">
                  <c:v>Promising (recent, lower spend)</c:v>
                </c:pt>
                <c:pt idx="4">
                  <c:v>Lost / low value</c:v>
                </c:pt>
                <c:pt idx="5">
                  <c:v>Loyal repeat buyers</c:v>
                </c:pt>
              </c:strCache>
            </c:strRef>
          </c:cat>
          <c:val>
            <c:numRef>
              <c:f>'20_RFM_Segments'!$C$4:$C$9</c:f>
              <c:numCache>
                <c:formatCode>0.00</c:formatCode>
                <c:ptCount val="6"/>
                <c:pt idx="0">
                  <c:v>16.45</c:v>
                </c:pt>
                <c:pt idx="1">
                  <c:v>15.6</c:v>
                </c:pt>
                <c:pt idx="2">
                  <c:v>27.27</c:v>
                </c:pt>
                <c:pt idx="3">
                  <c:v>23.25</c:v>
                </c:pt>
                <c:pt idx="4">
                  <c:v>16.48</c:v>
                </c:pt>
                <c:pt idx="5">
                  <c:v>0.94</c:v>
                </c:pt>
              </c:numCache>
            </c:numRef>
          </c:val>
        </c:ser>
        <c:ser>
          <c:idx val="1"/>
          <c:order val="1"/>
          <c:tx>
            <c:strRef>
              <c:f>"% of revenue"</c:f>
              <c:strCache>
                <c:ptCount val="1"/>
                <c:pt idx="0">
                  <c:v>% of revenue</c:v>
                </c:pt>
              </c:strCache>
            </c:strRef>
          </c:tx>
          <c: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'20_RFM_Segments'!$A$4:$A$9</c:f>
              <c:strCache>
                <c:ptCount val="6"/>
                <c:pt idx="0">
                  <c:v>Champions (recent, high spend)</c:v>
                </c:pt>
                <c:pt idx="1">
                  <c:v>At risk big spenders</c:v>
                </c:pt>
                <c:pt idx="2">
                  <c:v>Needs attention</c:v>
                </c:pt>
                <c:pt idx="3">
                  <c:v>Promising (recent, lower spend)</c:v>
                </c:pt>
                <c:pt idx="4">
                  <c:v>Lost / low value</c:v>
                </c:pt>
                <c:pt idx="5">
                  <c:v>Loyal repeat buyers</c:v>
                </c:pt>
              </c:strCache>
            </c:strRef>
          </c:cat>
          <c:val>
            <c:numRef>
              <c:f>'20_RFM_Segments'!$H$4:$H$9</c:f>
              <c:numCache>
                <c:formatCode>0.00</c:formatCode>
                <c:ptCount val="6"/>
                <c:pt idx="0">
                  <c:v>31.52</c:v>
                </c:pt>
                <c:pt idx="1">
                  <c:v>30.63</c:v>
                </c:pt>
                <c:pt idx="2">
                  <c:v>22.72</c:v>
                </c:pt>
                <c:pt idx="3">
                  <c:v>9.14</c:v>
                </c:pt>
                <c:pt idx="4">
                  <c:v>4.67</c:v>
                </c:pt>
                <c:pt idx="5">
                  <c:v>1.33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f8fed6-2576-4f56-b60b-c59697fe8ff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1F3864"/>
                </a:solidFill>
              </a:rPr>
              <a:t>Orders by weekday</a:t>
            </a:r>
            <a:endParaRPr sz="11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'05_Weekday_Pattern'!$B$4:$B$10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'05_Weekday_Pattern'!$C$4:$C$10</c:f>
              <c:numCache>
                <c:formatCode>#,##0</c:formatCode>
                <c:ptCount val="7"/>
                <c:pt idx="0">
                  <c:v>15701</c:v>
                </c:pt>
                <c:pt idx="1">
                  <c:v>15503</c:v>
                </c:pt>
                <c:pt idx="2">
                  <c:v>15076</c:v>
                </c:pt>
                <c:pt idx="3">
                  <c:v>14323</c:v>
                </c:pt>
                <c:pt idx="4">
                  <c:v>13685</c:v>
                </c:pt>
                <c:pt idx="5">
                  <c:v>10555</c:v>
                </c:pt>
                <c:pt idx="6">
                  <c:v>11635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c89de32-26f3-4c31-b6c1-dbb2726dd36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100" b="1">
                <a:solidFill>
                  <a:srgbClr val="1F3864"/>
                </a:solidFill>
              </a:rPr>
              <a:t>Orders by hour of day</a:t>
            </a:r>
            <a:endParaRPr sz="1100" b="1">
              <a:solidFill>
                <a:srgbClr val="1F3864"/>
              </a:solidFill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ln w="28000" cap="rnd" cmpd="sng" algn="ctr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'06_Hourly_Pattern'!$A$4:$A$27</c:f>
              <c:numCache>
                <c:formatCode>0</c:formatCode>
                <c:ptCount val="24"/>
                <c:pt idx="0" c:formatCode="0">
                  <c:v>0</c:v>
                </c:pt>
                <c:pt idx="1" c:formatCode="0">
                  <c:v>1</c:v>
                </c:pt>
                <c:pt idx="2" c:formatCode="0">
                  <c:v>2</c:v>
                </c:pt>
                <c:pt idx="3" c:formatCode="0">
                  <c:v>3</c:v>
                </c:pt>
                <c:pt idx="4" c:formatCode="0">
                  <c:v>4</c:v>
                </c:pt>
                <c:pt idx="5" c:formatCode="0">
                  <c:v>5</c:v>
                </c:pt>
                <c:pt idx="6" c:formatCode="0">
                  <c:v>6</c:v>
                </c:pt>
                <c:pt idx="7" c:formatCode="0">
                  <c:v>7</c:v>
                </c:pt>
                <c:pt idx="8" c:formatCode="0">
                  <c:v>8</c:v>
                </c:pt>
                <c:pt idx="9" c:formatCode="0">
                  <c:v>9</c:v>
                </c:pt>
                <c:pt idx="10" c:formatCode="0">
                  <c:v>10</c:v>
                </c:pt>
                <c:pt idx="11" c:formatCode="0">
                  <c:v>11</c:v>
                </c:pt>
                <c:pt idx="12" c:formatCode="0">
                  <c:v>12</c:v>
                </c:pt>
                <c:pt idx="13" c:formatCode="0">
                  <c:v>13</c:v>
                </c:pt>
                <c:pt idx="14" c:formatCode="0">
                  <c:v>14</c:v>
                </c:pt>
                <c:pt idx="15" c:formatCode="0">
                  <c:v>15</c:v>
                </c:pt>
                <c:pt idx="16" c:formatCode="0">
                  <c:v>16</c:v>
                </c:pt>
                <c:pt idx="17" c:formatCode="0">
                  <c:v>17</c:v>
                </c:pt>
                <c:pt idx="18" c:formatCode="0">
                  <c:v>18</c:v>
                </c:pt>
                <c:pt idx="19" c:formatCode="0">
                  <c:v>19</c:v>
                </c:pt>
                <c:pt idx="20" c:formatCode="0">
                  <c:v>20</c:v>
                </c:pt>
                <c:pt idx="21" c:formatCode="0">
                  <c:v>21</c:v>
                </c:pt>
                <c:pt idx="22" c:formatCode="0">
                  <c:v>22</c:v>
                </c:pt>
                <c:pt idx="23" c:formatCode="0">
                  <c:v>23</c:v>
                </c:pt>
              </c:numCache>
            </c:numRef>
          </c:cat>
          <c:val>
            <c:numRef>
              <c:f>'06_Hourly_Pattern'!$B$4:$B$27</c:f>
              <c:numCache>
                <c:formatCode>#,##0</c:formatCode>
                <c:ptCount val="24"/>
                <c:pt idx="0">
                  <c:v>2321</c:v>
                </c:pt>
                <c:pt idx="1">
                  <c:v>1133</c:v>
                </c:pt>
                <c:pt idx="2">
                  <c:v>496</c:v>
                </c:pt>
                <c:pt idx="3">
                  <c:v>259</c:v>
                </c:pt>
                <c:pt idx="4">
                  <c:v>203</c:v>
                </c:pt>
                <c:pt idx="5">
                  <c:v>182</c:v>
                </c:pt>
                <c:pt idx="6">
                  <c:v>478</c:v>
                </c:pt>
                <c:pt idx="7">
                  <c:v>1199</c:v>
                </c:pt>
                <c:pt idx="8">
                  <c:v>2907</c:v>
                </c:pt>
                <c:pt idx="9">
                  <c:v>4647</c:v>
                </c:pt>
                <c:pt idx="10">
                  <c:v>5978</c:v>
                </c:pt>
                <c:pt idx="11">
                  <c:v>6385</c:v>
                </c:pt>
                <c:pt idx="12">
                  <c:v>5803</c:v>
                </c:pt>
                <c:pt idx="13">
                  <c:v>6309</c:v>
                </c:pt>
                <c:pt idx="14">
                  <c:v>6383</c:v>
                </c:pt>
                <c:pt idx="15">
                  <c:v>6249</c:v>
                </c:pt>
                <c:pt idx="16">
                  <c:v>6476</c:v>
                </c:pt>
                <c:pt idx="17">
                  <c:v>5963</c:v>
                </c:pt>
                <c:pt idx="18">
                  <c:v>5585</c:v>
                </c:pt>
                <c:pt idx="19">
                  <c:v>5801</c:v>
                </c:pt>
                <c:pt idx="20">
                  <c:v>6007</c:v>
                </c:pt>
                <c:pt idx="21">
                  <c:v>6040</c:v>
                </c:pt>
                <c:pt idx="22">
                  <c:v>5659</c:v>
                </c:pt>
                <c:pt idx="23">
                  <c:v>4015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9e3bb4e-f836-48d1-97ef-caeef1c72f1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5.xml"/><Relationship Id="rId8" Type="http://schemas.openxmlformats.org/officeDocument/2006/relationships/chart" Target="../charts/chart14.xml"/><Relationship Id="rId7" Type="http://schemas.openxmlformats.org/officeDocument/2006/relationships/chart" Target="../charts/chart13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0" Type="http://schemas.openxmlformats.org/officeDocument/2006/relationships/chart" Target="../charts/chart16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11</xdr:row>
      <xdr:rowOff>0</xdr:rowOff>
    </xdr:from>
    <xdr:ext cx="3060000" cy="2052000"/>
    <xdr:graphicFrame>
      <xdr:nvGraphicFramePr>
        <xdr:cNvPr id="2" name="Chart 1"/>
        <xdr:cNvGraphicFramePr/>
      </xdr:nvGraphicFramePr>
      <xdr:xfrm>
        <a:off x="133350" y="2565400"/>
        <a:ext cx="3059430" cy="2051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3060000" cy="2052000"/>
    <xdr:graphicFrame>
      <xdr:nvGraphicFramePr>
        <xdr:cNvPr id="3" name="Chart 2"/>
        <xdr:cNvGraphicFramePr/>
      </xdr:nvGraphicFramePr>
      <xdr:xfrm>
        <a:off x="3067050" y="2565400"/>
        <a:ext cx="3059430" cy="2051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11</xdr:row>
      <xdr:rowOff>0</xdr:rowOff>
    </xdr:from>
    <xdr:ext cx="3060000" cy="2052000"/>
    <xdr:graphicFrame>
      <xdr:nvGraphicFramePr>
        <xdr:cNvPr id="4" name="Chart 3"/>
        <xdr:cNvGraphicFramePr/>
      </xdr:nvGraphicFramePr>
      <xdr:xfrm>
        <a:off x="6000750" y="2565400"/>
        <a:ext cx="3059430" cy="2051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23</xdr:row>
      <xdr:rowOff>0</xdr:rowOff>
    </xdr:from>
    <xdr:ext cx="3060000" cy="2052000"/>
    <xdr:graphicFrame>
      <xdr:nvGraphicFramePr>
        <xdr:cNvPr id="5" name="Chart 4"/>
        <xdr:cNvGraphicFramePr/>
      </xdr:nvGraphicFramePr>
      <xdr:xfrm>
        <a:off x="133350" y="4851400"/>
        <a:ext cx="3059430" cy="2051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23</xdr:row>
      <xdr:rowOff>0</xdr:rowOff>
    </xdr:from>
    <xdr:ext cx="3060000" cy="2052000"/>
    <xdr:graphicFrame>
      <xdr:nvGraphicFramePr>
        <xdr:cNvPr id="6" name="Chart 5"/>
        <xdr:cNvGraphicFramePr/>
      </xdr:nvGraphicFramePr>
      <xdr:xfrm>
        <a:off x="3067050" y="4851400"/>
        <a:ext cx="3059430" cy="2051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23</xdr:row>
      <xdr:rowOff>0</xdr:rowOff>
    </xdr:from>
    <xdr:ext cx="3060000" cy="2052000"/>
    <xdr:graphicFrame>
      <xdr:nvGraphicFramePr>
        <xdr:cNvPr id="7" name="Chart 6"/>
        <xdr:cNvGraphicFramePr/>
      </xdr:nvGraphicFramePr>
      <xdr:xfrm>
        <a:off x="6000750" y="4851400"/>
        <a:ext cx="3059430" cy="2051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15</xdr:row>
      <xdr:rowOff>0</xdr:rowOff>
    </xdr:from>
    <xdr:ext cx="4608000" cy="2664000"/>
    <xdr:graphicFrame>
      <xdr:nvGraphicFramePr>
        <xdr:cNvPr id="2" name="Chart 1"/>
        <xdr:cNvGraphicFramePr/>
      </xdr:nvGraphicFramePr>
      <xdr:xfrm>
        <a:off x="133350" y="4737100"/>
        <a:ext cx="460756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15</xdr:row>
      <xdr:rowOff>0</xdr:rowOff>
    </xdr:from>
    <xdr:ext cx="4608000" cy="2664000"/>
    <xdr:graphicFrame>
      <xdr:nvGraphicFramePr>
        <xdr:cNvPr id="3" name="Chart 2"/>
        <xdr:cNvGraphicFramePr/>
      </xdr:nvGraphicFramePr>
      <xdr:xfrm>
        <a:off x="4533900" y="4737100"/>
        <a:ext cx="460756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31</xdr:row>
      <xdr:rowOff>0</xdr:rowOff>
    </xdr:from>
    <xdr:ext cx="4608000" cy="2664000"/>
    <xdr:graphicFrame>
      <xdr:nvGraphicFramePr>
        <xdr:cNvPr id="4" name="Chart 3"/>
        <xdr:cNvGraphicFramePr/>
      </xdr:nvGraphicFramePr>
      <xdr:xfrm>
        <a:off x="133350" y="7785100"/>
        <a:ext cx="460756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31</xdr:row>
      <xdr:rowOff>0</xdr:rowOff>
    </xdr:from>
    <xdr:ext cx="4608000" cy="2664000"/>
    <xdr:graphicFrame>
      <xdr:nvGraphicFramePr>
        <xdr:cNvPr id="5" name="Chart 4"/>
        <xdr:cNvGraphicFramePr/>
      </xdr:nvGraphicFramePr>
      <xdr:xfrm>
        <a:off x="4533900" y="7785100"/>
        <a:ext cx="460756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47</xdr:row>
      <xdr:rowOff>0</xdr:rowOff>
    </xdr:from>
    <xdr:ext cx="4608000" cy="2664000"/>
    <xdr:graphicFrame>
      <xdr:nvGraphicFramePr>
        <xdr:cNvPr id="6" name="Chart 5"/>
        <xdr:cNvGraphicFramePr/>
      </xdr:nvGraphicFramePr>
      <xdr:xfrm>
        <a:off x="133350" y="10833100"/>
        <a:ext cx="460756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47</xdr:row>
      <xdr:rowOff>0</xdr:rowOff>
    </xdr:from>
    <xdr:ext cx="4608000" cy="2664000"/>
    <xdr:graphicFrame>
      <xdr:nvGraphicFramePr>
        <xdr:cNvPr id="7" name="Chart 6"/>
        <xdr:cNvGraphicFramePr/>
      </xdr:nvGraphicFramePr>
      <xdr:xfrm>
        <a:off x="4533900" y="10833100"/>
        <a:ext cx="460756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63</xdr:row>
      <xdr:rowOff>0</xdr:rowOff>
    </xdr:from>
    <xdr:ext cx="4608000" cy="2664000"/>
    <xdr:graphicFrame>
      <xdr:nvGraphicFramePr>
        <xdr:cNvPr id="8" name="Chart 7"/>
        <xdr:cNvGraphicFramePr/>
      </xdr:nvGraphicFramePr>
      <xdr:xfrm>
        <a:off x="133350" y="13881100"/>
        <a:ext cx="460756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7</xdr:col>
      <xdr:colOff>0</xdr:colOff>
      <xdr:row>63</xdr:row>
      <xdr:rowOff>0</xdr:rowOff>
    </xdr:from>
    <xdr:ext cx="4608000" cy="2664000"/>
    <xdr:graphicFrame>
      <xdr:nvGraphicFramePr>
        <xdr:cNvPr id="9" name="Chart 8"/>
        <xdr:cNvGraphicFramePr/>
      </xdr:nvGraphicFramePr>
      <xdr:xfrm>
        <a:off x="4533900" y="13881100"/>
        <a:ext cx="460756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</xdr:col>
      <xdr:colOff>0</xdr:colOff>
      <xdr:row>79</xdr:row>
      <xdr:rowOff>0</xdr:rowOff>
    </xdr:from>
    <xdr:ext cx="4608000" cy="2664000"/>
    <xdr:graphicFrame>
      <xdr:nvGraphicFramePr>
        <xdr:cNvPr id="10" name="Chart 9"/>
        <xdr:cNvGraphicFramePr/>
      </xdr:nvGraphicFramePr>
      <xdr:xfrm>
        <a:off x="133350" y="16929100"/>
        <a:ext cx="460756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7</xdr:col>
      <xdr:colOff>0</xdr:colOff>
      <xdr:row>79</xdr:row>
      <xdr:rowOff>0</xdr:rowOff>
    </xdr:from>
    <xdr:ext cx="4608000" cy="2664000"/>
    <xdr:graphicFrame>
      <xdr:nvGraphicFramePr>
        <xdr:cNvPr id="11" name="Chart 10"/>
        <xdr:cNvGraphicFramePr/>
      </xdr:nvGraphicFramePr>
      <xdr:xfrm>
        <a:off x="4533900" y="16929100"/>
        <a:ext cx="460756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bl_01_KPI_Summary" displayName="tbl_01_KPI_Summary" ref="A3:I4">
  <autoFilter xmlns:etc="http://www.wps.cn/officeDocument/2017/etCustomData" ref="A3:I4" etc:filterBottomFollowUsedRange="0"/>
  <tableColumns count="9">
    <tableColumn id="1" name="delivered_orders"/>
    <tableColumn id="2" name="unique_customers"/>
    <tableColumn id="3" name="total_revenue"/>
    <tableColumn id="4" name="total_freight"/>
    <tableColumn id="5" name="avg_order_value"/>
    <tableColumn id="6" name="avg_delivery_days"/>
    <tableColumn id="7" name="avg_estimated_days"/>
    <tableColumn id="8" name="late_delivery_pct"/>
    <tableColumn id="9" name="avg_review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2_Order_Status" displayName="tbl_02_Order_Status" ref="A3:C11">
  <autoFilter xmlns:etc="http://www.wps.cn/officeDocument/2017/etCustomData" ref="A3:C11" etc:filterBottomFollowUsedRange="0"/>
  <tableColumns count="3">
    <tableColumn id="1" name="order_status"/>
    <tableColumn id="2" name="orders"/>
    <tableColumn id="3" name="pct_of_or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03_Monthly_Trend" displayName="tbl_03_Monthly_Trend" ref="A3:F26">
  <autoFilter xmlns:etc="http://www.wps.cn/officeDocument/2017/etCustomData" ref="A3:F26" etc:filterBottomFollowUsedRange="0"/>
  <tableColumns count="6">
    <tableColumn id="1" name="purchase_month"/>
    <tableColumn id="2" name="orders"/>
    <tableColumn id="3" name="revenue"/>
    <tableColumn id="4" name="avg_order_value"/>
    <tableColumn id="5" name="revenue_mom_growth_pct"/>
    <tableColumn id="6" name="cumulative_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04_Yearly_Summary" displayName="tbl_04_Yearly_Summary" ref="A3:E6">
  <autoFilter xmlns:etc="http://www.wps.cn/officeDocument/2017/etCustomData" ref="A3:E6" etc:filterBottomFollowUsedRange="0"/>
  <tableColumns count="5">
    <tableColumn id="1" name="purchase_year"/>
    <tableColumn id="2" name="orders"/>
    <tableColumn id="3" name="revenue"/>
    <tableColumn id="4" name="avg_order_value"/>
    <tableColumn id="5" name="unique_custom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05_Weekday_Pattern" displayName="tbl_05_Weekday_Pattern" ref="A3:D10">
  <autoFilter xmlns:etc="http://www.wps.cn/officeDocument/2017/etCustomData" ref="A3:D10" etc:filterBottomFollowUsedRange="0"/>
  <tableColumns count="4">
    <tableColumn id="1" name="weekday_num"/>
    <tableColumn id="2" name="weekday_name"/>
    <tableColumn id="3" name="orders"/>
    <tableColumn id="4" name="reven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06_Hourly_Pattern" displayName="tbl_06_Hourly_Pattern" ref="A3:C27">
  <autoFilter xmlns:etc="http://www.wps.cn/officeDocument/2017/etCustomData" ref="A3:C27" etc:filterBottomFollowUsedRange="0"/>
  <tableColumns count="3">
    <tableColumn id="1" name="purchase_hour"/>
    <tableColumn id="2" name="orders"/>
    <tableColumn id="3" name="reven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07_Category_Performance" displayName="tbl_07_Category_Performance" ref="A3:H77">
  <autoFilter xmlns:etc="http://www.wps.cn/officeDocument/2017/etCustomData" ref="A3:H77" etc:filterBottomFollowUsedRange="0"/>
  <tableColumns count="8">
    <tableColumn id="1" name="revenue_rank"/>
    <tableColumn id="2" name="category"/>
    <tableColumn id="3" name="orders"/>
    <tableColumn id="4" name="units_sold"/>
    <tableColumn id="5" name="revenue"/>
    <tableColumn id="6" name="revenue_share_pct"/>
    <tableColumn id="7" name="avg_item_price"/>
    <tableColumn id="8" name="avg_review_sco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08_Pareto_ABC" displayName="tbl_08_Pareto_ABC" ref="A3:E77">
  <autoFilter xmlns:etc="http://www.wps.cn/officeDocument/2017/etCustomData" ref="A3:E77" etc:filterBottomFollowUsedRange="0"/>
  <tableColumns count="5">
    <tableColumn id="1" name="category"/>
    <tableColumn id="2" name="revenue"/>
    <tableColumn id="3" name="share_pct"/>
    <tableColumn id="4" name="cumulative_pct"/>
    <tableColumn id="5" name="abc_clas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09_State_Performance" displayName="tbl_09_State_Performance" ref="A3:I30">
  <autoFilter xmlns:etc="http://www.wps.cn/officeDocument/2017/etCustomData" ref="A3:I30" etc:filterBottomFollowUsedRange="0"/>
  <tableColumns count="9">
    <tableColumn id="1" name="customer_state"/>
    <tableColumn id="2" name="orders"/>
    <tableColumn id="3" name="customers"/>
    <tableColumn id="4" name="revenue"/>
    <tableColumn id="5" name="avg_order_value"/>
    <tableColumn id="6" name="freight_pct_of_revenue"/>
    <tableColumn id="7" name="avg_delivery_days"/>
    <tableColumn id="8" name="late_delivery_pct"/>
    <tableColumn id="9" name="avg_review_sco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10_Payment_Types" displayName="tbl_10_Payment_Types" ref="A3:E7">
  <autoFilter xmlns:etc="http://www.wps.cn/officeDocument/2017/etCustomData" ref="A3:E7" etc:filterBottomFollowUsedRange="0"/>
  <tableColumns count="5">
    <tableColumn id="1" name="payment_type"/>
    <tableColumn id="2" name="orders"/>
    <tableColumn id="3" name="total_value"/>
    <tableColumn id="4" name="value_share_pct"/>
    <tableColumn id="5" name="avg_payment_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11_Credit_Installments" displayName="tbl_11_Credit_Installments" ref="A3:C8">
  <autoFilter xmlns:etc="http://www.wps.cn/officeDocument/2017/etCustomData" ref="A3:C8" etc:filterBottomFollowUsedRange="0"/>
  <tableColumns count="3">
    <tableColumn id="1" name="installment_group"/>
    <tableColumn id="2" name="payments"/>
    <tableColumn id="3" name="avg_payment_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12_Delivery_Trend" displayName="tbl_12_Delivery_Trend" ref="A3:E26">
  <autoFilter xmlns:etc="http://www.wps.cn/officeDocument/2017/etCustomData" ref="A3:E26" etc:filterBottomFollowUsedRange="0"/>
  <tableColumns count="5">
    <tableColumn id="1" name="purchase_month"/>
    <tableColumn id="2" name="delivered_orders"/>
    <tableColumn id="3" name="avg_delivery_days"/>
    <tableColumn id="4" name="avg_estimated_days"/>
    <tableColumn id="5" name="late_delivery_pc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13_Late_vs_OnTime" displayName="tbl_13_Late_vs_OnTime" ref="A3:E5">
  <autoFilter xmlns:etc="http://www.wps.cn/officeDocument/2017/etCustomData" ref="A3:E5" etc:filterBottomFollowUsedRange="0"/>
  <tableColumns count="5">
    <tableColumn id="1" name="delivery_outcome"/>
    <tableColumn id="2" name="orders"/>
    <tableColumn id="3" name="avg_review_score"/>
    <tableColumn id="4" name="pct_negative_reviews"/>
    <tableColumn id="5" name="avg_delivery_day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14_Delay_Buckets" displayName="tbl_14_Delay_Buckets" ref="A3:E9">
  <autoFilter xmlns:etc="http://www.wps.cn/officeDocument/2017/etCustomData" ref="A3:E9" etc:filterBottomFollowUsedRange="0"/>
  <tableColumns count="5">
    <tableColumn id="1" name="sort_no"/>
    <tableColumn id="2" name="delivery_bucket"/>
    <tableColumn id="3" name="orders"/>
    <tableColumn id="4" name="avg_review_score"/>
    <tableColumn id="5" name="pct_negative_review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15_Top_Sellers" displayName="tbl_15_Top_Sellers" ref="A3:F13">
  <autoFilter xmlns:etc="http://www.wps.cn/officeDocument/2017/etCustomData" ref="A3:F13" etc:filterBottomFollowUsedRange="0"/>
  <tableColumns count="6">
    <tableColumn id="1" name="seller_id"/>
    <tableColumn id="2" name="seller_state"/>
    <tableColumn id="3" name="orders"/>
    <tableColumn id="4" name="revenue"/>
    <tableColumn id="5" name="avg_review_score"/>
    <tableColumn id="6" name="late_item_p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16_Risky_Sellers" displayName="tbl_16_Risky_Sellers" ref="A3:F13">
  <autoFilter xmlns:etc="http://www.wps.cn/officeDocument/2017/etCustomData" ref="A3:F13" etc:filterBottomFollowUsedRange="0"/>
  <tableColumns count="6">
    <tableColumn id="1" name="seller_id"/>
    <tableColumn id="2" name="seller_state"/>
    <tableColumn id="3" name="orders"/>
    <tableColumn id="4" name="revenue"/>
    <tableColumn id="5" name="avg_review_score"/>
    <tableColumn id="6" name="late_item_pc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17_Repeat_Customers" displayName="tbl_17_Repeat_Customers" ref="A3:C4">
  <autoFilter xmlns:etc="http://www.wps.cn/officeDocument/2017/etCustomData" ref="A3:C4" etc:filterBottomFollowUsedRange="0"/>
  <tableColumns count="3">
    <tableColumn id="1" name="total_customers"/>
    <tableColumn id="2" name="repeat_customers"/>
    <tableColumn id="3" name="repeat_rate_pc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18_Order_Frequency" displayName="tbl_18_Order_Frequency" ref="A3:D7">
  <autoFilter xmlns:etc="http://www.wps.cn/officeDocument/2017/etCustomData" ref="A3:D7" etc:filterBottomFollowUsedRange="0"/>
  <tableColumns count="4">
    <tableColumn id="1" name="orders_placed"/>
    <tableColumn id="2" name="customers"/>
    <tableColumn id="3" name="pct_of_customers"/>
    <tableColumn id="4" name="revenu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19_Cohort_Retention" displayName="tbl_19_Cohort_Retention" ref="A3:D222">
  <autoFilter xmlns:etc="http://www.wps.cn/officeDocument/2017/etCustomData" ref="A3:D222" etc:filterBottomFollowUsedRange="0"/>
  <tableColumns count="4">
    <tableColumn id="1" name="cohort_month"/>
    <tableColumn id="2" name="month_index"/>
    <tableColumn id="3" name="active_customers"/>
    <tableColumn id="4" name="retention_pc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20_RFM_Segments" displayName="tbl_20_RFM_Segments" ref="A3:H9">
  <autoFilter xmlns:etc="http://www.wps.cn/officeDocument/2017/etCustomData" ref="A3:H9" etc:filterBottomFollowUsedRange="0"/>
  <tableColumns count="8">
    <tableColumn id="1" name="segment"/>
    <tableColumn id="2" name="customers"/>
    <tableColumn id="3" name="pct_of_customers"/>
    <tableColumn id="4" name="avg_recency_days"/>
    <tableColumn id="5" name="avg_orders"/>
    <tableColumn id="6" name="avg_spend"/>
    <tableColumn id="7" name="total_revenue"/>
    <tableColumn id="8" name="pct_of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  <pageSetUpPr fitToPage="1"/>
  </sheetPr>
  <dimension ref="B1:M10"/>
  <sheetViews>
    <sheetView showGridLines="0" tabSelected="1" zoomScale="90" zoomScaleNormal="90" workbookViewId="0">
      <selection activeCell="A1" sqref="A1"/>
    </sheetView>
  </sheetViews>
  <sheetFormatPr defaultColWidth="9" defaultRowHeight="15"/>
  <cols>
    <col min="1" max="1" width="2" customWidth="1"/>
    <col min="2" max="13" width="11" customWidth="1"/>
    <col min="14" max="14" width="2" customWidth="1"/>
  </cols>
  <sheetData>
    <row r="1" ht="32" customHeight="1" spans="2:13">
      <c r="B1" s="36" t="s">
        <v>0</v>
      </c>
    </row>
    <row r="2" spans="2:13">
      <c r="B2" s="37" t="s">
        <v>1</v>
      </c>
    </row>
    <row r="4" customHeight="1" spans="2:13">
      <c r="B4" s="38" t="s">
        <v>2</v>
      </c>
      <c r="C4" s="39"/>
      <c r="D4" s="38" t="s">
        <v>3</v>
      </c>
      <c r="E4" s="39"/>
      <c r="F4" s="38" t="s">
        <v>4</v>
      </c>
      <c r="G4" s="39"/>
      <c r="H4" s="38" t="s">
        <v>5</v>
      </c>
      <c r="I4" s="39"/>
      <c r="J4" s="38" t="s">
        <v>6</v>
      </c>
      <c r="K4" s="39"/>
      <c r="L4" s="38" t="s">
        <v>7</v>
      </c>
      <c r="M4" s="39"/>
    </row>
    <row r="5" ht="28" customHeight="1" spans="2:13">
      <c r="B5" s="40">
        <f>'01_KPI_Summary'!C4</f>
        <v>13221498.11</v>
      </c>
      <c r="C5" s="41"/>
      <c r="D5" s="42">
        <f>'01_KPI_Summary'!A4</f>
        <v>96478</v>
      </c>
      <c r="E5" s="41"/>
      <c r="F5" s="43">
        <f>'01_KPI_Summary'!E4</f>
        <v>137.04</v>
      </c>
      <c r="G5" s="41"/>
      <c r="H5" s="44">
        <f>'01_KPI_Summary'!F4</f>
        <v>12.5</v>
      </c>
      <c r="I5" s="41"/>
      <c r="J5" s="45">
        <f>'01_KPI_Summary'!H4</f>
        <v>6.77</v>
      </c>
      <c r="K5" s="41"/>
      <c r="L5" s="46">
        <f>'01_KPI_Summary'!I4</f>
        <v>4.16</v>
      </c>
      <c r="M5" s="41"/>
    </row>
    <row r="6" ht="13" customHeight="1" spans="2:13">
      <c r="B6" s="47" t="s">
        <v>8</v>
      </c>
      <c r="C6" s="41"/>
      <c r="D6" s="47" t="str">
        <f>TEXT('01_KPI_Summary'!B4,"#,##0")&amp;" unique customers"</f>
        <v>93,358 unique customers</v>
      </c>
      <c r="E6" s="41"/>
      <c r="F6" s="47" t="s">
        <v>9</v>
      </c>
      <c r="G6" s="41"/>
      <c r="H6" s="47" t="str">
        <f>"Estimated: "&amp;TEXT('01_KPI_Summary'!G4,"0.0")&amp;" days"</f>
        <v>Estimated: 24.4 days</v>
      </c>
      <c r="I6" s="41"/>
      <c r="J6" s="47" t="s">
        <v>10</v>
      </c>
      <c r="K6" s="41"/>
      <c r="L6" s="47" t="s">
        <v>11</v>
      </c>
      <c r="M6" s="41"/>
    </row>
    <row r="8" ht="18" customHeight="1" spans="2:13">
      <c r="B8" s="48" t="str">
        <f>"• DELIVERY HURTS REVIEWS: late orders average "&amp;TEXT('13_Late_vs_OnTime'!C5,"0.00")&amp;" stars vs "&amp;TEXT('13_Late_vs_OnTime'!C4,"0.00")&amp;" for on-time orders; "&amp;TEXT('13_Late_vs_OnTime'!D5,"0")&amp;"% of late orders get a negative review (1-2 stars) vs "&amp;TEXT('13_Late_vs_OnTime'!D4,"0")&amp;"%."</f>
        <v>• DELIVERY HURTS REVIEWS: late orders average 2.27 stars vs 4.29 for on-time orders; 62% of late orders get a negative review (1-2 stars) vs 9%.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</row>
    <row r="9" ht="18" customHeight="1" spans="2:13">
      <c r="B9" s="49" t="str">
        <f>"• CONCENTRATION: Sao Paulo (SP) generates "&amp;TEXT('09_State_Performance'!D4/'01_KPI_Summary'!C4,"0%")&amp;" of revenue; the top 3 categories make up "&amp;TEXT(SUM('07_Category_Performance'!F4:F6),"0.0")&amp;"% of sales."</f>
        <v>• CONCENTRATION: Sao Paulo (SP) generates 38% of revenue; the top 3 categories make up 25.9% of sales.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ht="18" customHeight="1" spans="2:13">
      <c r="B10" s="48" t="str">
        <f>"• RETENTION GAP: only "&amp;TEXT('17_Repeat_Customers'!C4,"0.0")&amp;"% of customers ever bought a second time, so growth depends on acquiring new customers."</f>
        <v>• RETENTION GAP: only 3.0% of customers ever bought a second time, so growth depends on acquiring new customers.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</row>
  </sheetData>
  <mergeCells count="23">
    <mergeCell ref="B1:M1"/>
    <mergeCell ref="B2:M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8:M8"/>
    <mergeCell ref="B9:M9"/>
    <mergeCell ref="B10:M10"/>
  </mergeCells>
  <pageMargins left="0.75" right="0.75" top="1" bottom="1" header="0.5" footer="0.5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B1:M96"/>
  <sheetViews>
    <sheetView showGridLines="0" workbookViewId="0">
      <selection activeCell="A1" sqref="A1"/>
    </sheetView>
  </sheetViews>
  <sheetFormatPr defaultColWidth="9" defaultRowHeight="15"/>
  <cols>
    <col min="1" max="1" width="2" customWidth="1"/>
    <col min="2" max="13" width="11" customWidth="1"/>
    <col min="14" max="14" width="2" customWidth="1"/>
  </cols>
  <sheetData>
    <row r="1" ht="44" customHeight="1" spans="2:13">
      <c r="B1" s="19" t="s">
        <v>12</v>
      </c>
    </row>
    <row r="2" spans="2:13">
      <c r="B2" s="20" t="s">
        <v>13</v>
      </c>
    </row>
    <row r="4" ht="20" customHeight="1" spans="2:13">
      <c r="B4" s="21" t="s">
        <v>2</v>
      </c>
      <c r="C4" s="22"/>
      <c r="D4" s="21" t="s">
        <v>3</v>
      </c>
      <c r="E4" s="22"/>
      <c r="F4" s="21" t="s">
        <v>4</v>
      </c>
      <c r="G4" s="22"/>
      <c r="H4" s="21" t="s">
        <v>5</v>
      </c>
      <c r="I4" s="22"/>
      <c r="J4" s="21" t="s">
        <v>6</v>
      </c>
      <c r="K4" s="22"/>
      <c r="L4" s="21" t="s">
        <v>7</v>
      </c>
      <c r="M4" s="22"/>
    </row>
    <row r="5" ht="36" customHeight="1" spans="2:13">
      <c r="B5" s="23">
        <f>'01_KPI_Summary'!C4</f>
        <v>13221498.11</v>
      </c>
      <c r="C5" s="24"/>
      <c r="D5" s="25">
        <f>'01_KPI_Summary'!A4</f>
        <v>96478</v>
      </c>
      <c r="E5" s="24"/>
      <c r="F5" s="26">
        <f>'01_KPI_Summary'!E4</f>
        <v>137.04</v>
      </c>
      <c r="G5" s="24"/>
      <c r="H5" s="27">
        <f>'01_KPI_Summary'!F4</f>
        <v>12.5</v>
      </c>
      <c r="I5" s="24"/>
      <c r="J5" s="28">
        <f>'01_KPI_Summary'!H4</f>
        <v>6.77</v>
      </c>
      <c r="K5" s="24"/>
      <c r="L5" s="29">
        <f>'01_KPI_Summary'!I4</f>
        <v>4.16</v>
      </c>
      <c r="M5" s="24"/>
    </row>
    <row r="6" ht="18" customHeight="1" spans="2:13">
      <c r="B6" s="30" t="s">
        <v>8</v>
      </c>
      <c r="C6" s="24"/>
      <c r="D6" s="30" t="str">
        <f>TEXT('01_KPI_Summary'!B4,"#,##0")&amp;" unique customers"</f>
        <v>93,358 unique customers</v>
      </c>
      <c r="E6" s="24"/>
      <c r="F6" s="30" t="s">
        <v>9</v>
      </c>
      <c r="G6" s="24"/>
      <c r="H6" s="30" t="str">
        <f>"Estimated: "&amp;TEXT('01_KPI_Summary'!G4,"0.0")&amp;" days"</f>
        <v>Estimated: 24.4 days</v>
      </c>
      <c r="I6" s="24"/>
      <c r="J6" s="30" t="s">
        <v>10</v>
      </c>
      <c r="K6" s="24"/>
      <c r="L6" s="30" t="s">
        <v>11</v>
      </c>
      <c r="M6" s="24"/>
    </row>
    <row r="8" spans="2:13">
      <c r="B8" s="10" t="s">
        <v>14</v>
      </c>
    </row>
    <row r="9" ht="30" customHeight="1" spans="2:13">
      <c r="B9" s="31" t="str">
        <f>"1. GROWTH: Jan-Aug 2018 revenue was R$ "&amp;TEXT(SUM('03_Monthly_Trend'!C19:C26)/1000000,"0.0")&amp;"M vs R$ "&amp;TEXT(SUM('03_Monthly_Trend'!C7:C14)/1000000,"0.0")&amp;"M in Jan-Aug 2017, up "&amp;TEXT(SUM('03_Monthly_Trend'!C19:C26)/SUM('03_Monthly_Trend'!C7:C14)-1,"0%")&amp;"."</f>
        <v>1. GROWTH: Jan-Aug 2018 revenue was R$ 7.2M vs R$ 3.0M in Jan-Aug 2017, up 141%.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</row>
    <row r="10" ht="30" customHeight="1" spans="2:13">
      <c r="B10" s="33" t="str">
        <f>"2. DELIVERY HURTS REVIEWS: late orders average "&amp;TEXT('13_Late_vs_OnTime'!C5,"0.00")&amp;" stars vs "&amp;TEXT('13_Late_vs_OnTime'!C4,"0.00")&amp;" for on-time orders; "&amp;TEXT('13_Late_vs_OnTime'!D5,"0")&amp;"% of late orders get a negative review (1-2 stars) vs "&amp;TEXT('13_Late_vs_OnTime'!D4,"0")&amp;"%."</f>
        <v>2. DELIVERY HURTS REVIEWS: late orders average 2.27 stars vs 4.29 for on-time orders; 62% of late orders get a negative review (1-2 stars) vs 9%.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ht="30" customHeight="1" spans="2:13">
      <c r="B11" s="31" t="str">
        <f>"3. LONGER DELAY, WORSE SCORE: orders arriving 8+ days late score "&amp;TEXT('14_Delay_Buckets'!D9,"0.00")&amp;" vs "&amp;TEXT('14_Delay_Buckets'!D4,"0.00")&amp;" for very early deliveries."</f>
        <v>3. LONGER DELAY, WORSE SCORE: orders arriving 8+ days late score 1.70 vs 4.32 for very early deliveries.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ht="30" customHeight="1" spans="2:13">
      <c r="B12" s="33" t="str">
        <f>"4. CONCENTRATION: Sao Paulo (SP) generates "&amp;TEXT('09_State_Performance'!D4/'01_KPI_Summary'!C4,"0%")&amp;" of revenue; the top 3 categories make up "&amp;TEXT(SUM('07_Category_Performance'!F4:F6),"0.0")&amp;"% of sales."</f>
        <v>4. CONCENTRATION: Sao Paulo (SP) generates 38% of revenue; the top 3 categories make up 25.9% of sales.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ht="30" customHeight="1" spans="2:13">
      <c r="B13" s="31" t="str">
        <f>"5. RETENTION GAP: only "&amp;TEXT('17_Repeat_Customers'!C4,"0.0")&amp;"% of customers ever bought a second time, so growth depends on acquiring new customers."</f>
        <v>5. RETENTION GAP: only 3.0% of customers ever bought a second time, so growth depends on acquiring new customers.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</row>
    <row r="14" ht="30" customHeight="1" spans="2:13">
      <c r="B14" s="33" t="str">
        <f>"6. AT-RISK VALUE: "&amp;TEXT('20_RFM_Segments'!B5,"#,##0")&amp;" high-spend customers have not bought for ~"&amp;TEXT('20_RFM_Segments'!D5,"0")&amp;" days and hold "&amp;TEXT('20_RFM_Segments'!H5,"0")&amp;"% of revenue; "&amp;TEXT('10_Payment_Types'!D4,"0")&amp;"% of payment value is by credit card."</f>
        <v>6. AT-RISK VALUE: 14,563 high-spend customers have not bought for ~394 days and hold 31% of revenue; 78% of payment value is by credit card.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96" spans="2:2">
      <c r="B96" s="35" t="s">
        <v>15</v>
      </c>
    </row>
  </sheetData>
  <mergeCells count="27">
    <mergeCell ref="B1:M1"/>
    <mergeCell ref="B2:M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8:M8"/>
    <mergeCell ref="B9:M9"/>
    <mergeCell ref="B10:M10"/>
    <mergeCell ref="B11:M11"/>
    <mergeCell ref="B12:M12"/>
    <mergeCell ref="B13:M13"/>
    <mergeCell ref="B14:M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O26"/>
  <sheetViews>
    <sheetView showGridLines="0" workbookViewId="0">
      <selection activeCell="A1" sqref="A1"/>
    </sheetView>
  </sheetViews>
  <sheetFormatPr defaultColWidth="9" defaultRowHeight="15"/>
  <cols>
    <col min="1" max="1" width="12" customWidth="1"/>
    <col min="2" max="2" width="13" customWidth="1"/>
    <col min="3" max="15" width="8.5047619047619" customWidth="1"/>
  </cols>
  <sheetData>
    <row r="1" ht="18" spans="1:15">
      <c r="A1" s="11" t="s">
        <v>16</v>
      </c>
    </row>
    <row r="2" spans="1:15">
      <c r="A2" s="2" t="s">
        <v>17</v>
      </c>
    </row>
    <row r="3" spans="1:15">
      <c r="C3" s="14" t="s">
        <v>18</v>
      </c>
    </row>
    <row r="4" spans="1:15">
      <c r="A4" s="15" t="s">
        <v>19</v>
      </c>
      <c r="B4" s="15" t="s">
        <v>20</v>
      </c>
      <c r="C4" s="15">
        <v>0</v>
      </c>
      <c r="D4" s="15">
        <v>1</v>
      </c>
      <c r="E4" s="15">
        <v>2</v>
      </c>
      <c r="F4" s="15">
        <v>3</v>
      </c>
      <c r="G4" s="15">
        <v>4</v>
      </c>
      <c r="H4" s="15">
        <v>5</v>
      </c>
      <c r="I4" s="15">
        <v>6</v>
      </c>
      <c r="J4" s="15">
        <v>7</v>
      </c>
      <c r="K4" s="15">
        <v>8</v>
      </c>
      <c r="L4" s="15">
        <v>9</v>
      </c>
      <c r="M4" s="15">
        <v>10</v>
      </c>
      <c r="N4" s="15">
        <v>11</v>
      </c>
      <c r="O4" s="15">
        <v>12</v>
      </c>
    </row>
    <row r="5" spans="1:15">
      <c r="A5" s="12" t="s">
        <v>21</v>
      </c>
      <c r="B5" s="16">
        <f>SUMPRODUCT(('19_Cohort_Retention'!$A$4:$A$222=$A5)*('19_Cohort_Retention'!$B$4:$B$222=0)*'19_Cohort_Retention'!$C$4:$C$222)</f>
        <v>717</v>
      </c>
      <c r="C5" s="17">
        <f>IF(SUMPRODUCT(('19_Cohort_Retention'!$A$4:$A$222=$A5)*('19_Cohort_Retention'!$B$4:$B$222=C$4))=0,"",SUMPRODUCT(('19_Cohort_Retention'!$A$4:$A$222=$A5)*('19_Cohort_Retention'!$B$4:$B$222=C$4)*'19_Cohort_Retention'!$D$4:$D$222))</f>
        <v>100</v>
      </c>
      <c r="D5" s="17">
        <f>IF(SUMPRODUCT(('19_Cohort_Retention'!$A$4:$A$222=$A5)*('19_Cohort_Retention'!$B$4:$B$222=D$4))=0,"",SUMPRODUCT(('19_Cohort_Retention'!$A$4:$A$222=$A5)*('19_Cohort_Retention'!$B$4:$B$222=D$4)*'19_Cohort_Retention'!$D$4:$D$222))</f>
        <v>0.28</v>
      </c>
      <c r="E5" s="17">
        <f>IF(SUMPRODUCT(('19_Cohort_Retention'!$A$4:$A$222=$A5)*('19_Cohort_Retention'!$B$4:$B$222=E$4))=0,"",SUMPRODUCT(('19_Cohort_Retention'!$A$4:$A$222=$A5)*('19_Cohort_Retention'!$B$4:$B$222=E$4)*'19_Cohort_Retention'!$D$4:$D$222))</f>
        <v>0.28</v>
      </c>
      <c r="F5" s="17">
        <f>IF(SUMPRODUCT(('19_Cohort_Retention'!$A$4:$A$222=$A5)*('19_Cohort_Retention'!$B$4:$B$222=F$4))=0,"",SUMPRODUCT(('19_Cohort_Retention'!$A$4:$A$222=$A5)*('19_Cohort_Retention'!$B$4:$B$222=F$4)*'19_Cohort_Retention'!$D$4:$D$222))</f>
        <v>0.14</v>
      </c>
      <c r="G5" s="17">
        <f>IF(SUMPRODUCT(('19_Cohort_Retention'!$A$4:$A$222=$A5)*('19_Cohort_Retention'!$B$4:$B$222=G$4))=0,"",SUMPRODUCT(('19_Cohort_Retention'!$A$4:$A$222=$A5)*('19_Cohort_Retention'!$B$4:$B$222=G$4)*'19_Cohort_Retention'!$D$4:$D$222))</f>
        <v>0.42</v>
      </c>
      <c r="H5" s="17">
        <f>IF(SUMPRODUCT(('19_Cohort_Retention'!$A$4:$A$222=$A5)*('19_Cohort_Retention'!$B$4:$B$222=H$4))=0,"",SUMPRODUCT(('19_Cohort_Retention'!$A$4:$A$222=$A5)*('19_Cohort_Retention'!$B$4:$B$222=H$4)*'19_Cohort_Retention'!$D$4:$D$222))</f>
        <v>0.14</v>
      </c>
      <c r="I5" s="17">
        <f>IF(SUMPRODUCT(('19_Cohort_Retention'!$A$4:$A$222=$A5)*('19_Cohort_Retention'!$B$4:$B$222=I$4))=0,"",SUMPRODUCT(('19_Cohort_Retention'!$A$4:$A$222=$A5)*('19_Cohort_Retention'!$B$4:$B$222=I$4)*'19_Cohort_Retention'!$D$4:$D$222))</f>
        <v>0.42</v>
      </c>
      <c r="J5" s="17">
        <f>IF(SUMPRODUCT(('19_Cohort_Retention'!$A$4:$A$222=$A5)*('19_Cohort_Retention'!$B$4:$B$222=J$4))=0,"",SUMPRODUCT(('19_Cohort_Retention'!$A$4:$A$222=$A5)*('19_Cohort_Retention'!$B$4:$B$222=J$4)*'19_Cohort_Retention'!$D$4:$D$222))</f>
        <v>0.14</v>
      </c>
      <c r="K5" s="17">
        <f>IF(SUMPRODUCT(('19_Cohort_Retention'!$A$4:$A$222=$A5)*('19_Cohort_Retention'!$B$4:$B$222=K$4))=0,"",SUMPRODUCT(('19_Cohort_Retention'!$A$4:$A$222=$A5)*('19_Cohort_Retention'!$B$4:$B$222=K$4)*'19_Cohort_Retention'!$D$4:$D$222))</f>
        <v>0.14</v>
      </c>
      <c r="L5" s="17" t="str">
        <f>IF(SUMPRODUCT(('19_Cohort_Retention'!$A$4:$A$222=$A5)*('19_Cohort_Retention'!$B$4:$B$222=L$4))=0,"",SUMPRODUCT(('19_Cohort_Retention'!$A$4:$A$222=$A5)*('19_Cohort_Retention'!$B$4:$B$222=L$4)*'19_Cohort_Retention'!$D$4:$D$222))</f>
        <v/>
      </c>
      <c r="M5" s="17">
        <f>IF(SUMPRODUCT(('19_Cohort_Retention'!$A$4:$A$222=$A5)*('19_Cohort_Retention'!$B$4:$B$222=M$4))=0,"",SUMPRODUCT(('19_Cohort_Retention'!$A$4:$A$222=$A5)*('19_Cohort_Retention'!$B$4:$B$222=M$4)*'19_Cohort_Retention'!$D$4:$D$222))</f>
        <v>0.42</v>
      </c>
      <c r="N5" s="17">
        <f>IF(SUMPRODUCT(('19_Cohort_Retention'!$A$4:$A$222=$A5)*('19_Cohort_Retention'!$B$4:$B$222=N$4))=0,"",SUMPRODUCT(('19_Cohort_Retention'!$A$4:$A$222=$A5)*('19_Cohort_Retention'!$B$4:$B$222=N$4)*'19_Cohort_Retention'!$D$4:$D$222))</f>
        <v>0.14</v>
      </c>
      <c r="O5" s="17">
        <f>IF(SUMPRODUCT(('19_Cohort_Retention'!$A$4:$A$222=$A5)*('19_Cohort_Retention'!$B$4:$B$222=O$4))=0,"",SUMPRODUCT(('19_Cohort_Retention'!$A$4:$A$222=$A5)*('19_Cohort_Retention'!$B$4:$B$222=O$4)*'19_Cohort_Retention'!$D$4:$D$222))</f>
        <v>0.7</v>
      </c>
    </row>
    <row r="6" spans="1:15">
      <c r="A6" s="12" t="s">
        <v>22</v>
      </c>
      <c r="B6" s="16">
        <f>SUMPRODUCT(('19_Cohort_Retention'!$A$4:$A$222=$A6)*('19_Cohort_Retention'!$B$4:$B$222=0)*'19_Cohort_Retention'!$C$4:$C$222)</f>
        <v>1628</v>
      </c>
      <c r="C6" s="17">
        <f>IF(SUMPRODUCT(('19_Cohort_Retention'!$A$4:$A$222=$A6)*('19_Cohort_Retention'!$B$4:$B$222=C$4))=0,"",SUMPRODUCT(('19_Cohort_Retention'!$A$4:$A$222=$A6)*('19_Cohort_Retention'!$B$4:$B$222=C$4)*'19_Cohort_Retention'!$D$4:$D$222))</f>
        <v>100</v>
      </c>
      <c r="D6" s="17">
        <f>IF(SUMPRODUCT(('19_Cohort_Retention'!$A$4:$A$222=$A6)*('19_Cohort_Retention'!$B$4:$B$222=D$4))=0,"",SUMPRODUCT(('19_Cohort_Retention'!$A$4:$A$222=$A6)*('19_Cohort_Retention'!$B$4:$B$222=D$4)*'19_Cohort_Retention'!$D$4:$D$222))</f>
        <v>0.18</v>
      </c>
      <c r="E6" s="17">
        <f>IF(SUMPRODUCT(('19_Cohort_Retention'!$A$4:$A$222=$A6)*('19_Cohort_Retention'!$B$4:$B$222=E$4))=0,"",SUMPRODUCT(('19_Cohort_Retention'!$A$4:$A$222=$A6)*('19_Cohort_Retention'!$B$4:$B$222=E$4)*'19_Cohort_Retention'!$D$4:$D$222))</f>
        <v>0.31</v>
      </c>
      <c r="F6" s="17">
        <f>IF(SUMPRODUCT(('19_Cohort_Retention'!$A$4:$A$222=$A6)*('19_Cohort_Retention'!$B$4:$B$222=F$4))=0,"",SUMPRODUCT(('19_Cohort_Retention'!$A$4:$A$222=$A6)*('19_Cohort_Retention'!$B$4:$B$222=F$4)*'19_Cohort_Retention'!$D$4:$D$222))</f>
        <v>0.12</v>
      </c>
      <c r="G6" s="17">
        <f>IF(SUMPRODUCT(('19_Cohort_Retention'!$A$4:$A$222=$A6)*('19_Cohort_Retention'!$B$4:$B$222=G$4))=0,"",SUMPRODUCT(('19_Cohort_Retention'!$A$4:$A$222=$A6)*('19_Cohort_Retention'!$B$4:$B$222=G$4)*'19_Cohort_Retention'!$D$4:$D$222))</f>
        <v>0.43</v>
      </c>
      <c r="H6" s="17">
        <f>IF(SUMPRODUCT(('19_Cohort_Retention'!$A$4:$A$222=$A6)*('19_Cohort_Retention'!$B$4:$B$222=H$4))=0,"",SUMPRODUCT(('19_Cohort_Retention'!$A$4:$A$222=$A6)*('19_Cohort_Retention'!$B$4:$B$222=H$4)*'19_Cohort_Retention'!$D$4:$D$222))</f>
        <v>0.12</v>
      </c>
      <c r="I6" s="17">
        <f>IF(SUMPRODUCT(('19_Cohort_Retention'!$A$4:$A$222=$A6)*('19_Cohort_Retention'!$B$4:$B$222=I$4))=0,"",SUMPRODUCT(('19_Cohort_Retention'!$A$4:$A$222=$A6)*('19_Cohort_Retention'!$B$4:$B$222=I$4)*'19_Cohort_Retention'!$D$4:$D$222))</f>
        <v>0.25</v>
      </c>
      <c r="J6" s="17">
        <f>IF(SUMPRODUCT(('19_Cohort_Retention'!$A$4:$A$222=$A6)*('19_Cohort_Retention'!$B$4:$B$222=J$4))=0,"",SUMPRODUCT(('19_Cohort_Retention'!$A$4:$A$222=$A6)*('19_Cohort_Retention'!$B$4:$B$222=J$4)*'19_Cohort_Retention'!$D$4:$D$222))</f>
        <v>0.18</v>
      </c>
      <c r="K6" s="17">
        <f>IF(SUMPRODUCT(('19_Cohort_Retention'!$A$4:$A$222=$A6)*('19_Cohort_Retention'!$B$4:$B$222=K$4))=0,"",SUMPRODUCT(('19_Cohort_Retention'!$A$4:$A$222=$A6)*('19_Cohort_Retention'!$B$4:$B$222=K$4)*'19_Cohort_Retention'!$D$4:$D$222))</f>
        <v>0.12</v>
      </c>
      <c r="L6" s="17">
        <f>IF(SUMPRODUCT(('19_Cohort_Retention'!$A$4:$A$222=$A6)*('19_Cohort_Retention'!$B$4:$B$222=L$4))=0,"",SUMPRODUCT(('19_Cohort_Retention'!$A$4:$A$222=$A6)*('19_Cohort_Retention'!$B$4:$B$222=L$4)*'19_Cohort_Retention'!$D$4:$D$222))</f>
        <v>0.18</v>
      </c>
      <c r="M6" s="17">
        <f>IF(SUMPRODUCT(('19_Cohort_Retention'!$A$4:$A$222=$A6)*('19_Cohort_Retention'!$B$4:$B$222=M$4))=0,"",SUMPRODUCT(('19_Cohort_Retention'!$A$4:$A$222=$A6)*('19_Cohort_Retention'!$B$4:$B$222=M$4)*'19_Cohort_Retention'!$D$4:$D$222))</f>
        <v>0.12</v>
      </c>
      <c r="N6" s="17">
        <f>IF(SUMPRODUCT(('19_Cohort_Retention'!$A$4:$A$222=$A6)*('19_Cohort_Retention'!$B$4:$B$222=N$4))=0,"",SUMPRODUCT(('19_Cohort_Retention'!$A$4:$A$222=$A6)*('19_Cohort_Retention'!$B$4:$B$222=N$4)*'19_Cohort_Retention'!$D$4:$D$222))</f>
        <v>0.31</v>
      </c>
      <c r="O6" s="17">
        <f>IF(SUMPRODUCT(('19_Cohort_Retention'!$A$4:$A$222=$A6)*('19_Cohort_Retention'!$B$4:$B$222=O$4))=0,"",SUMPRODUCT(('19_Cohort_Retention'!$A$4:$A$222=$A6)*('19_Cohort_Retention'!$B$4:$B$222=O$4)*'19_Cohort_Retention'!$D$4:$D$222))</f>
        <v>0.12</v>
      </c>
    </row>
    <row r="7" spans="1:15">
      <c r="A7" s="12" t="s">
        <v>23</v>
      </c>
      <c r="B7" s="16">
        <f>SUMPRODUCT(('19_Cohort_Retention'!$A$4:$A$222=$A7)*('19_Cohort_Retention'!$B$4:$B$222=0)*'19_Cohort_Retention'!$C$4:$C$222)</f>
        <v>2503</v>
      </c>
      <c r="C7" s="17">
        <f>IF(SUMPRODUCT(('19_Cohort_Retention'!$A$4:$A$222=$A7)*('19_Cohort_Retention'!$B$4:$B$222=C$4))=0,"",SUMPRODUCT(('19_Cohort_Retention'!$A$4:$A$222=$A7)*('19_Cohort_Retention'!$B$4:$B$222=C$4)*'19_Cohort_Retention'!$D$4:$D$222))</f>
        <v>100</v>
      </c>
      <c r="D7" s="17">
        <f>IF(SUMPRODUCT(('19_Cohort_Retention'!$A$4:$A$222=$A7)*('19_Cohort_Retention'!$B$4:$B$222=D$4))=0,"",SUMPRODUCT(('19_Cohort_Retention'!$A$4:$A$222=$A7)*('19_Cohort_Retention'!$B$4:$B$222=D$4)*'19_Cohort_Retention'!$D$4:$D$222))</f>
        <v>0.44</v>
      </c>
      <c r="E7" s="17">
        <f>IF(SUMPRODUCT(('19_Cohort_Retention'!$A$4:$A$222=$A7)*('19_Cohort_Retention'!$B$4:$B$222=E$4))=0,"",SUMPRODUCT(('19_Cohort_Retention'!$A$4:$A$222=$A7)*('19_Cohort_Retention'!$B$4:$B$222=E$4)*'19_Cohort_Retention'!$D$4:$D$222))</f>
        <v>0.36</v>
      </c>
      <c r="F7" s="17">
        <f>IF(SUMPRODUCT(('19_Cohort_Retention'!$A$4:$A$222=$A7)*('19_Cohort_Retention'!$B$4:$B$222=F$4))=0,"",SUMPRODUCT(('19_Cohort_Retention'!$A$4:$A$222=$A7)*('19_Cohort_Retention'!$B$4:$B$222=F$4)*'19_Cohort_Retention'!$D$4:$D$222))</f>
        <v>0.4</v>
      </c>
      <c r="G7" s="17">
        <f>IF(SUMPRODUCT(('19_Cohort_Retention'!$A$4:$A$222=$A7)*('19_Cohort_Retention'!$B$4:$B$222=G$4))=0,"",SUMPRODUCT(('19_Cohort_Retention'!$A$4:$A$222=$A7)*('19_Cohort_Retention'!$B$4:$B$222=G$4)*'19_Cohort_Retention'!$D$4:$D$222))</f>
        <v>0.36</v>
      </c>
      <c r="H7" s="17">
        <f>IF(SUMPRODUCT(('19_Cohort_Retention'!$A$4:$A$222=$A7)*('19_Cohort_Retention'!$B$4:$B$222=H$4))=0,"",SUMPRODUCT(('19_Cohort_Retention'!$A$4:$A$222=$A7)*('19_Cohort_Retention'!$B$4:$B$222=H$4)*'19_Cohort_Retention'!$D$4:$D$222))</f>
        <v>0.16</v>
      </c>
      <c r="I7" s="17">
        <f>IF(SUMPRODUCT(('19_Cohort_Retention'!$A$4:$A$222=$A7)*('19_Cohort_Retention'!$B$4:$B$222=I$4))=0,"",SUMPRODUCT(('19_Cohort_Retention'!$A$4:$A$222=$A7)*('19_Cohort_Retention'!$B$4:$B$222=I$4)*'19_Cohort_Retention'!$D$4:$D$222))</f>
        <v>0.16</v>
      </c>
      <c r="J7" s="17">
        <f>IF(SUMPRODUCT(('19_Cohort_Retention'!$A$4:$A$222=$A7)*('19_Cohort_Retention'!$B$4:$B$222=J$4))=0,"",SUMPRODUCT(('19_Cohort_Retention'!$A$4:$A$222=$A7)*('19_Cohort_Retention'!$B$4:$B$222=J$4)*'19_Cohort_Retention'!$D$4:$D$222))</f>
        <v>0.32</v>
      </c>
      <c r="K7" s="17">
        <f>IF(SUMPRODUCT(('19_Cohort_Retention'!$A$4:$A$222=$A7)*('19_Cohort_Retention'!$B$4:$B$222=K$4))=0,"",SUMPRODUCT(('19_Cohort_Retention'!$A$4:$A$222=$A7)*('19_Cohort_Retention'!$B$4:$B$222=K$4)*'19_Cohort_Retention'!$D$4:$D$222))</f>
        <v>0.32</v>
      </c>
      <c r="L7" s="17">
        <f>IF(SUMPRODUCT(('19_Cohort_Retention'!$A$4:$A$222=$A7)*('19_Cohort_Retention'!$B$4:$B$222=L$4))=0,"",SUMPRODUCT(('19_Cohort_Retention'!$A$4:$A$222=$A7)*('19_Cohort_Retention'!$B$4:$B$222=L$4)*'19_Cohort_Retention'!$D$4:$D$222))</f>
        <v>0.08</v>
      </c>
      <c r="M7" s="17">
        <f>IF(SUMPRODUCT(('19_Cohort_Retention'!$A$4:$A$222=$A7)*('19_Cohort_Retention'!$B$4:$B$222=M$4))=0,"",SUMPRODUCT(('19_Cohort_Retention'!$A$4:$A$222=$A7)*('19_Cohort_Retention'!$B$4:$B$222=M$4)*'19_Cohort_Retention'!$D$4:$D$222))</f>
        <v>0.36</v>
      </c>
      <c r="N7" s="17">
        <f>IF(SUMPRODUCT(('19_Cohort_Retention'!$A$4:$A$222=$A7)*('19_Cohort_Retention'!$B$4:$B$222=N$4))=0,"",SUMPRODUCT(('19_Cohort_Retention'!$A$4:$A$222=$A7)*('19_Cohort_Retention'!$B$4:$B$222=N$4)*'19_Cohort_Retention'!$D$4:$D$222))</f>
        <v>0.12</v>
      </c>
      <c r="O7" s="17">
        <f>IF(SUMPRODUCT(('19_Cohort_Retention'!$A$4:$A$222=$A7)*('19_Cohort_Retention'!$B$4:$B$222=O$4))=0,"",SUMPRODUCT(('19_Cohort_Retention'!$A$4:$A$222=$A7)*('19_Cohort_Retention'!$B$4:$B$222=O$4)*'19_Cohort_Retention'!$D$4:$D$222))</f>
        <v>0.2</v>
      </c>
    </row>
    <row r="8" spans="1:15">
      <c r="A8" s="12" t="s">
        <v>24</v>
      </c>
      <c r="B8" s="16">
        <f>SUMPRODUCT(('19_Cohort_Retention'!$A$4:$A$222=$A8)*('19_Cohort_Retention'!$B$4:$B$222=0)*'19_Cohort_Retention'!$C$4:$C$222)</f>
        <v>2256</v>
      </c>
      <c r="C8" s="17">
        <f>IF(SUMPRODUCT(('19_Cohort_Retention'!$A$4:$A$222=$A8)*('19_Cohort_Retention'!$B$4:$B$222=C$4))=0,"",SUMPRODUCT(('19_Cohort_Retention'!$A$4:$A$222=$A8)*('19_Cohort_Retention'!$B$4:$B$222=C$4)*'19_Cohort_Retention'!$D$4:$D$222))</f>
        <v>100</v>
      </c>
      <c r="D8" s="17">
        <f>IF(SUMPRODUCT(('19_Cohort_Retention'!$A$4:$A$222=$A8)*('19_Cohort_Retention'!$B$4:$B$222=D$4))=0,"",SUMPRODUCT(('19_Cohort_Retention'!$A$4:$A$222=$A8)*('19_Cohort_Retention'!$B$4:$B$222=D$4)*'19_Cohort_Retention'!$D$4:$D$222))</f>
        <v>0.62</v>
      </c>
      <c r="E8" s="17">
        <f>IF(SUMPRODUCT(('19_Cohort_Retention'!$A$4:$A$222=$A8)*('19_Cohort_Retention'!$B$4:$B$222=E$4))=0,"",SUMPRODUCT(('19_Cohort_Retention'!$A$4:$A$222=$A8)*('19_Cohort_Retention'!$B$4:$B$222=E$4)*'19_Cohort_Retention'!$D$4:$D$222))</f>
        <v>0.22</v>
      </c>
      <c r="F8" s="17">
        <f>IF(SUMPRODUCT(('19_Cohort_Retention'!$A$4:$A$222=$A8)*('19_Cohort_Retention'!$B$4:$B$222=F$4))=0,"",SUMPRODUCT(('19_Cohort_Retention'!$A$4:$A$222=$A8)*('19_Cohort_Retention'!$B$4:$B$222=F$4)*'19_Cohort_Retention'!$D$4:$D$222))</f>
        <v>0.18</v>
      </c>
      <c r="G8" s="17">
        <f>IF(SUMPRODUCT(('19_Cohort_Retention'!$A$4:$A$222=$A8)*('19_Cohort_Retention'!$B$4:$B$222=G$4))=0,"",SUMPRODUCT(('19_Cohort_Retention'!$A$4:$A$222=$A8)*('19_Cohort_Retention'!$B$4:$B$222=G$4)*'19_Cohort_Retention'!$D$4:$D$222))</f>
        <v>0.27</v>
      </c>
      <c r="H8" s="17">
        <f>IF(SUMPRODUCT(('19_Cohort_Retention'!$A$4:$A$222=$A8)*('19_Cohort_Retention'!$B$4:$B$222=H$4))=0,"",SUMPRODUCT(('19_Cohort_Retention'!$A$4:$A$222=$A8)*('19_Cohort_Retention'!$B$4:$B$222=H$4)*'19_Cohort_Retention'!$D$4:$D$222))</f>
        <v>0.27</v>
      </c>
      <c r="I8" s="17">
        <f>IF(SUMPRODUCT(('19_Cohort_Retention'!$A$4:$A$222=$A8)*('19_Cohort_Retention'!$B$4:$B$222=I$4))=0,"",SUMPRODUCT(('19_Cohort_Retention'!$A$4:$A$222=$A8)*('19_Cohort_Retention'!$B$4:$B$222=I$4)*'19_Cohort_Retention'!$D$4:$D$222))</f>
        <v>0.35</v>
      </c>
      <c r="J8" s="17">
        <f>IF(SUMPRODUCT(('19_Cohort_Retention'!$A$4:$A$222=$A8)*('19_Cohort_Retention'!$B$4:$B$222=J$4))=0,"",SUMPRODUCT(('19_Cohort_Retention'!$A$4:$A$222=$A8)*('19_Cohort_Retention'!$B$4:$B$222=J$4)*'19_Cohort_Retention'!$D$4:$D$222))</f>
        <v>0.31</v>
      </c>
      <c r="K8" s="17">
        <f>IF(SUMPRODUCT(('19_Cohort_Retention'!$A$4:$A$222=$A8)*('19_Cohort_Retention'!$B$4:$B$222=K$4))=0,"",SUMPRODUCT(('19_Cohort_Retention'!$A$4:$A$222=$A8)*('19_Cohort_Retention'!$B$4:$B$222=K$4)*'19_Cohort_Retention'!$D$4:$D$222))</f>
        <v>0.31</v>
      </c>
      <c r="L8" s="17">
        <f>IF(SUMPRODUCT(('19_Cohort_Retention'!$A$4:$A$222=$A8)*('19_Cohort_Retention'!$B$4:$B$222=L$4))=0,"",SUMPRODUCT(('19_Cohort_Retention'!$A$4:$A$222=$A8)*('19_Cohort_Retention'!$B$4:$B$222=L$4)*'19_Cohort_Retention'!$D$4:$D$222))</f>
        <v>0.18</v>
      </c>
      <c r="M8" s="17">
        <f>IF(SUMPRODUCT(('19_Cohort_Retention'!$A$4:$A$222=$A8)*('19_Cohort_Retention'!$B$4:$B$222=M$4))=0,"",SUMPRODUCT(('19_Cohort_Retention'!$A$4:$A$222=$A8)*('19_Cohort_Retention'!$B$4:$B$222=M$4)*'19_Cohort_Retention'!$D$4:$D$222))</f>
        <v>0.27</v>
      </c>
      <c r="N8" s="17">
        <f>IF(SUMPRODUCT(('19_Cohort_Retention'!$A$4:$A$222=$A8)*('19_Cohort_Retention'!$B$4:$B$222=N$4))=0,"",SUMPRODUCT(('19_Cohort_Retention'!$A$4:$A$222=$A8)*('19_Cohort_Retention'!$B$4:$B$222=N$4)*'19_Cohort_Retention'!$D$4:$D$222))</f>
        <v>0.09</v>
      </c>
      <c r="O8" s="17">
        <f>IF(SUMPRODUCT(('19_Cohort_Retention'!$A$4:$A$222=$A8)*('19_Cohort_Retention'!$B$4:$B$222=O$4))=0,"",SUMPRODUCT(('19_Cohort_Retention'!$A$4:$A$222=$A8)*('19_Cohort_Retention'!$B$4:$B$222=O$4)*'19_Cohort_Retention'!$D$4:$D$222))</f>
        <v>0.04</v>
      </c>
    </row>
    <row r="9" spans="1:15">
      <c r="A9" s="12" t="s">
        <v>25</v>
      </c>
      <c r="B9" s="16">
        <f>SUMPRODUCT(('19_Cohort_Retention'!$A$4:$A$222=$A9)*('19_Cohort_Retention'!$B$4:$B$222=0)*'19_Cohort_Retention'!$C$4:$C$222)</f>
        <v>3451</v>
      </c>
      <c r="C9" s="17">
        <f>IF(SUMPRODUCT(('19_Cohort_Retention'!$A$4:$A$222=$A9)*('19_Cohort_Retention'!$B$4:$B$222=C$4))=0,"",SUMPRODUCT(('19_Cohort_Retention'!$A$4:$A$222=$A9)*('19_Cohort_Retention'!$B$4:$B$222=C$4)*'19_Cohort_Retention'!$D$4:$D$222))</f>
        <v>100</v>
      </c>
      <c r="D9" s="17">
        <f>IF(SUMPRODUCT(('19_Cohort_Retention'!$A$4:$A$222=$A9)*('19_Cohort_Retention'!$B$4:$B$222=D$4))=0,"",SUMPRODUCT(('19_Cohort_Retention'!$A$4:$A$222=$A9)*('19_Cohort_Retention'!$B$4:$B$222=D$4)*'19_Cohort_Retention'!$D$4:$D$222))</f>
        <v>0.46</v>
      </c>
      <c r="E9" s="17">
        <f>IF(SUMPRODUCT(('19_Cohort_Retention'!$A$4:$A$222=$A9)*('19_Cohort_Retention'!$B$4:$B$222=E$4))=0,"",SUMPRODUCT(('19_Cohort_Retention'!$A$4:$A$222=$A9)*('19_Cohort_Retention'!$B$4:$B$222=E$4)*'19_Cohort_Retention'!$D$4:$D$222))</f>
        <v>0.46</v>
      </c>
      <c r="F9" s="17">
        <f>IF(SUMPRODUCT(('19_Cohort_Retention'!$A$4:$A$222=$A9)*('19_Cohort_Retention'!$B$4:$B$222=F$4))=0,"",SUMPRODUCT(('19_Cohort_Retention'!$A$4:$A$222=$A9)*('19_Cohort_Retention'!$B$4:$B$222=F$4)*'19_Cohort_Retention'!$D$4:$D$222))</f>
        <v>0.29</v>
      </c>
      <c r="G9" s="17">
        <f>IF(SUMPRODUCT(('19_Cohort_Retention'!$A$4:$A$222=$A9)*('19_Cohort_Retention'!$B$4:$B$222=G$4))=0,"",SUMPRODUCT(('19_Cohort_Retention'!$A$4:$A$222=$A9)*('19_Cohort_Retention'!$B$4:$B$222=G$4)*'19_Cohort_Retention'!$D$4:$D$222))</f>
        <v>0.29</v>
      </c>
      <c r="H9" s="17">
        <f>IF(SUMPRODUCT(('19_Cohort_Retention'!$A$4:$A$222=$A9)*('19_Cohort_Retention'!$B$4:$B$222=H$4))=0,"",SUMPRODUCT(('19_Cohort_Retention'!$A$4:$A$222=$A9)*('19_Cohort_Retention'!$B$4:$B$222=H$4)*'19_Cohort_Retention'!$D$4:$D$222))</f>
        <v>0.32</v>
      </c>
      <c r="I9" s="17">
        <f>IF(SUMPRODUCT(('19_Cohort_Retention'!$A$4:$A$222=$A9)*('19_Cohort_Retention'!$B$4:$B$222=I$4))=0,"",SUMPRODUCT(('19_Cohort_Retention'!$A$4:$A$222=$A9)*('19_Cohort_Retention'!$B$4:$B$222=I$4)*'19_Cohort_Retention'!$D$4:$D$222))</f>
        <v>0.41</v>
      </c>
      <c r="J9" s="17">
        <f>IF(SUMPRODUCT(('19_Cohort_Retention'!$A$4:$A$222=$A9)*('19_Cohort_Retention'!$B$4:$B$222=J$4))=0,"",SUMPRODUCT(('19_Cohort_Retention'!$A$4:$A$222=$A9)*('19_Cohort_Retention'!$B$4:$B$222=J$4)*'19_Cohort_Retention'!$D$4:$D$222))</f>
        <v>0.14</v>
      </c>
      <c r="K9" s="17">
        <f>IF(SUMPRODUCT(('19_Cohort_Retention'!$A$4:$A$222=$A9)*('19_Cohort_Retention'!$B$4:$B$222=K$4))=0,"",SUMPRODUCT(('19_Cohort_Retention'!$A$4:$A$222=$A9)*('19_Cohort_Retention'!$B$4:$B$222=K$4)*'19_Cohort_Retention'!$D$4:$D$222))</f>
        <v>0.26</v>
      </c>
      <c r="L9" s="17">
        <f>IF(SUMPRODUCT(('19_Cohort_Retention'!$A$4:$A$222=$A9)*('19_Cohort_Retention'!$B$4:$B$222=L$4))=0,"",SUMPRODUCT(('19_Cohort_Retention'!$A$4:$A$222=$A9)*('19_Cohort_Retention'!$B$4:$B$222=L$4)*'19_Cohort_Retention'!$D$4:$D$222))</f>
        <v>0.26</v>
      </c>
      <c r="M9" s="17">
        <f>IF(SUMPRODUCT(('19_Cohort_Retention'!$A$4:$A$222=$A9)*('19_Cohort_Retention'!$B$4:$B$222=M$4))=0,"",SUMPRODUCT(('19_Cohort_Retention'!$A$4:$A$222=$A9)*('19_Cohort_Retention'!$B$4:$B$222=M$4)*'19_Cohort_Retention'!$D$4:$D$222))</f>
        <v>0.26</v>
      </c>
      <c r="N9" s="17">
        <f>IF(SUMPRODUCT(('19_Cohort_Retention'!$A$4:$A$222=$A9)*('19_Cohort_Retention'!$B$4:$B$222=N$4))=0,"",SUMPRODUCT(('19_Cohort_Retention'!$A$4:$A$222=$A9)*('19_Cohort_Retention'!$B$4:$B$222=N$4)*'19_Cohort_Retention'!$D$4:$D$222))</f>
        <v>0.35</v>
      </c>
      <c r="O9" s="17">
        <f>IF(SUMPRODUCT(('19_Cohort_Retention'!$A$4:$A$222=$A9)*('19_Cohort_Retention'!$B$4:$B$222=O$4))=0,"",SUMPRODUCT(('19_Cohort_Retention'!$A$4:$A$222=$A9)*('19_Cohort_Retention'!$B$4:$B$222=O$4)*'19_Cohort_Retention'!$D$4:$D$222))</f>
        <v>0.23</v>
      </c>
    </row>
    <row r="10" spans="1:15">
      <c r="A10" s="12" t="s">
        <v>26</v>
      </c>
      <c r="B10" s="16">
        <f>SUMPRODUCT(('19_Cohort_Retention'!$A$4:$A$222=$A10)*('19_Cohort_Retention'!$B$4:$B$222=0)*'19_Cohort_Retention'!$C$4:$C$222)</f>
        <v>3037</v>
      </c>
      <c r="C10" s="17">
        <f>IF(SUMPRODUCT(('19_Cohort_Retention'!$A$4:$A$222=$A10)*('19_Cohort_Retention'!$B$4:$B$222=C$4))=0,"",SUMPRODUCT(('19_Cohort_Retention'!$A$4:$A$222=$A10)*('19_Cohort_Retention'!$B$4:$B$222=C$4)*'19_Cohort_Retention'!$D$4:$D$222))</f>
        <v>100</v>
      </c>
      <c r="D10" s="17">
        <f>IF(SUMPRODUCT(('19_Cohort_Retention'!$A$4:$A$222=$A10)*('19_Cohort_Retention'!$B$4:$B$222=D$4))=0,"",SUMPRODUCT(('19_Cohort_Retention'!$A$4:$A$222=$A10)*('19_Cohort_Retention'!$B$4:$B$222=D$4)*'19_Cohort_Retention'!$D$4:$D$222))</f>
        <v>0.49</v>
      </c>
      <c r="E10" s="17">
        <f>IF(SUMPRODUCT(('19_Cohort_Retention'!$A$4:$A$222=$A10)*('19_Cohort_Retention'!$B$4:$B$222=E$4))=0,"",SUMPRODUCT(('19_Cohort_Retention'!$A$4:$A$222=$A10)*('19_Cohort_Retention'!$B$4:$B$222=E$4)*'19_Cohort_Retention'!$D$4:$D$222))</f>
        <v>0.4</v>
      </c>
      <c r="F10" s="17">
        <f>IF(SUMPRODUCT(('19_Cohort_Retention'!$A$4:$A$222=$A10)*('19_Cohort_Retention'!$B$4:$B$222=F$4))=0,"",SUMPRODUCT(('19_Cohort_Retention'!$A$4:$A$222=$A10)*('19_Cohort_Retention'!$B$4:$B$222=F$4)*'19_Cohort_Retention'!$D$4:$D$222))</f>
        <v>0.43</v>
      </c>
      <c r="G10" s="17">
        <f>IF(SUMPRODUCT(('19_Cohort_Retention'!$A$4:$A$222=$A10)*('19_Cohort_Retention'!$B$4:$B$222=G$4))=0,"",SUMPRODUCT(('19_Cohort_Retention'!$A$4:$A$222=$A10)*('19_Cohort_Retention'!$B$4:$B$222=G$4)*'19_Cohort_Retention'!$D$4:$D$222))</f>
        <v>0.3</v>
      </c>
      <c r="H10" s="17">
        <f>IF(SUMPRODUCT(('19_Cohort_Retention'!$A$4:$A$222=$A10)*('19_Cohort_Retention'!$B$4:$B$222=H$4))=0,"",SUMPRODUCT(('19_Cohort_Retention'!$A$4:$A$222=$A10)*('19_Cohort_Retention'!$B$4:$B$222=H$4)*'19_Cohort_Retention'!$D$4:$D$222))</f>
        <v>0.4</v>
      </c>
      <c r="I10" s="17">
        <f>IF(SUMPRODUCT(('19_Cohort_Retention'!$A$4:$A$222=$A10)*('19_Cohort_Retention'!$B$4:$B$222=I$4))=0,"",SUMPRODUCT(('19_Cohort_Retention'!$A$4:$A$222=$A10)*('19_Cohort_Retention'!$B$4:$B$222=I$4)*'19_Cohort_Retention'!$D$4:$D$222))</f>
        <v>0.36</v>
      </c>
      <c r="J10" s="17">
        <f>IF(SUMPRODUCT(('19_Cohort_Retention'!$A$4:$A$222=$A10)*('19_Cohort_Retention'!$B$4:$B$222=J$4))=0,"",SUMPRODUCT(('19_Cohort_Retention'!$A$4:$A$222=$A10)*('19_Cohort_Retention'!$B$4:$B$222=J$4)*'19_Cohort_Retention'!$D$4:$D$222))</f>
        <v>0.23</v>
      </c>
      <c r="K10" s="17">
        <f>IF(SUMPRODUCT(('19_Cohort_Retention'!$A$4:$A$222=$A10)*('19_Cohort_Retention'!$B$4:$B$222=K$4))=0,"",SUMPRODUCT(('19_Cohort_Retention'!$A$4:$A$222=$A10)*('19_Cohort_Retention'!$B$4:$B$222=K$4)*'19_Cohort_Retention'!$D$4:$D$222))</f>
        <v>0.13</v>
      </c>
      <c r="L10" s="17">
        <f>IF(SUMPRODUCT(('19_Cohort_Retention'!$A$4:$A$222=$A10)*('19_Cohort_Retention'!$B$4:$B$222=L$4))=0,"",SUMPRODUCT(('19_Cohort_Retention'!$A$4:$A$222=$A10)*('19_Cohort_Retention'!$B$4:$B$222=L$4)*'19_Cohort_Retention'!$D$4:$D$222))</f>
        <v>0.2</v>
      </c>
      <c r="M10" s="17">
        <f>IF(SUMPRODUCT(('19_Cohort_Retention'!$A$4:$A$222=$A10)*('19_Cohort_Retention'!$B$4:$B$222=M$4))=0,"",SUMPRODUCT(('19_Cohort_Retention'!$A$4:$A$222=$A10)*('19_Cohort_Retention'!$B$4:$B$222=M$4)*'19_Cohort_Retention'!$D$4:$D$222))</f>
        <v>0.3</v>
      </c>
      <c r="N10" s="17">
        <f>IF(SUMPRODUCT(('19_Cohort_Retention'!$A$4:$A$222=$A10)*('19_Cohort_Retention'!$B$4:$B$222=N$4))=0,"",SUMPRODUCT(('19_Cohort_Retention'!$A$4:$A$222=$A10)*('19_Cohort_Retention'!$B$4:$B$222=N$4)*'19_Cohort_Retention'!$D$4:$D$222))</f>
        <v>0.36</v>
      </c>
      <c r="O10" s="17">
        <f>IF(SUMPRODUCT(('19_Cohort_Retention'!$A$4:$A$222=$A10)*('19_Cohort_Retention'!$B$4:$B$222=O$4))=0,"",SUMPRODUCT(('19_Cohort_Retention'!$A$4:$A$222=$A10)*('19_Cohort_Retention'!$B$4:$B$222=O$4)*'19_Cohort_Retention'!$D$4:$D$222))</f>
        <v>0.16</v>
      </c>
    </row>
    <row r="11" spans="1:15">
      <c r="A11" s="12" t="s">
        <v>27</v>
      </c>
      <c r="B11" s="16">
        <f>SUMPRODUCT(('19_Cohort_Retention'!$A$4:$A$222=$A11)*('19_Cohort_Retention'!$B$4:$B$222=0)*'19_Cohort_Retention'!$C$4:$C$222)</f>
        <v>3752</v>
      </c>
      <c r="C11" s="17">
        <f>IF(SUMPRODUCT(('19_Cohort_Retention'!$A$4:$A$222=$A11)*('19_Cohort_Retention'!$B$4:$B$222=C$4))=0,"",SUMPRODUCT(('19_Cohort_Retention'!$A$4:$A$222=$A11)*('19_Cohort_Retention'!$B$4:$B$222=C$4)*'19_Cohort_Retention'!$D$4:$D$222))</f>
        <v>100</v>
      </c>
      <c r="D11" s="17">
        <f>IF(SUMPRODUCT(('19_Cohort_Retention'!$A$4:$A$222=$A11)*('19_Cohort_Retention'!$B$4:$B$222=D$4))=0,"",SUMPRODUCT(('19_Cohort_Retention'!$A$4:$A$222=$A11)*('19_Cohort_Retention'!$B$4:$B$222=D$4)*'19_Cohort_Retention'!$D$4:$D$222))</f>
        <v>0.53</v>
      </c>
      <c r="E11" s="17">
        <f>IF(SUMPRODUCT(('19_Cohort_Retention'!$A$4:$A$222=$A11)*('19_Cohort_Retention'!$B$4:$B$222=E$4))=0,"",SUMPRODUCT(('19_Cohort_Retention'!$A$4:$A$222=$A11)*('19_Cohort_Retention'!$B$4:$B$222=E$4)*'19_Cohort_Retention'!$D$4:$D$222))</f>
        <v>0.35</v>
      </c>
      <c r="F11" s="17">
        <f>IF(SUMPRODUCT(('19_Cohort_Retention'!$A$4:$A$222=$A11)*('19_Cohort_Retention'!$B$4:$B$222=F$4))=0,"",SUMPRODUCT(('19_Cohort_Retention'!$A$4:$A$222=$A11)*('19_Cohort_Retention'!$B$4:$B$222=F$4)*'19_Cohort_Retention'!$D$4:$D$222))</f>
        <v>0.24</v>
      </c>
      <c r="G11" s="17">
        <f>IF(SUMPRODUCT(('19_Cohort_Retention'!$A$4:$A$222=$A11)*('19_Cohort_Retention'!$B$4:$B$222=G$4))=0,"",SUMPRODUCT(('19_Cohort_Retention'!$A$4:$A$222=$A11)*('19_Cohort_Retention'!$B$4:$B$222=G$4)*'19_Cohort_Retention'!$D$4:$D$222))</f>
        <v>0.29</v>
      </c>
      <c r="H11" s="17">
        <f>IF(SUMPRODUCT(('19_Cohort_Retention'!$A$4:$A$222=$A11)*('19_Cohort_Retention'!$B$4:$B$222=H$4))=0,"",SUMPRODUCT(('19_Cohort_Retention'!$A$4:$A$222=$A11)*('19_Cohort_Retention'!$B$4:$B$222=H$4)*'19_Cohort_Retention'!$D$4:$D$222))</f>
        <v>0.21</v>
      </c>
      <c r="I11" s="17">
        <f>IF(SUMPRODUCT(('19_Cohort_Retention'!$A$4:$A$222=$A11)*('19_Cohort_Retention'!$B$4:$B$222=I$4))=0,"",SUMPRODUCT(('19_Cohort_Retention'!$A$4:$A$222=$A11)*('19_Cohort_Retention'!$B$4:$B$222=I$4)*'19_Cohort_Retention'!$D$4:$D$222))</f>
        <v>0.32</v>
      </c>
      <c r="J11" s="17">
        <f>IF(SUMPRODUCT(('19_Cohort_Retention'!$A$4:$A$222=$A11)*('19_Cohort_Retention'!$B$4:$B$222=J$4))=0,"",SUMPRODUCT(('19_Cohort_Retention'!$A$4:$A$222=$A11)*('19_Cohort_Retention'!$B$4:$B$222=J$4)*'19_Cohort_Retention'!$D$4:$D$222))</f>
        <v>0.11</v>
      </c>
      <c r="K11" s="17">
        <f>IF(SUMPRODUCT(('19_Cohort_Retention'!$A$4:$A$222=$A11)*('19_Cohort_Retention'!$B$4:$B$222=K$4))=0,"",SUMPRODUCT(('19_Cohort_Retention'!$A$4:$A$222=$A11)*('19_Cohort_Retention'!$B$4:$B$222=K$4)*'19_Cohort_Retention'!$D$4:$D$222))</f>
        <v>0.19</v>
      </c>
      <c r="L11" s="17">
        <f>IF(SUMPRODUCT(('19_Cohort_Retention'!$A$4:$A$222=$A11)*('19_Cohort_Retention'!$B$4:$B$222=L$4))=0,"",SUMPRODUCT(('19_Cohort_Retention'!$A$4:$A$222=$A11)*('19_Cohort_Retention'!$B$4:$B$222=L$4)*'19_Cohort_Retention'!$D$4:$D$222))</f>
        <v>0.27</v>
      </c>
      <c r="M11" s="17">
        <f>IF(SUMPRODUCT(('19_Cohort_Retention'!$A$4:$A$222=$A11)*('19_Cohort_Retention'!$B$4:$B$222=M$4))=0,"",SUMPRODUCT(('19_Cohort_Retention'!$A$4:$A$222=$A11)*('19_Cohort_Retention'!$B$4:$B$222=M$4)*'19_Cohort_Retention'!$D$4:$D$222))</f>
        <v>0.21</v>
      </c>
      <c r="N11" s="17">
        <f>IF(SUMPRODUCT(('19_Cohort_Retention'!$A$4:$A$222=$A11)*('19_Cohort_Retention'!$B$4:$B$222=N$4))=0,"",SUMPRODUCT(('19_Cohort_Retention'!$A$4:$A$222=$A11)*('19_Cohort_Retention'!$B$4:$B$222=N$4)*'19_Cohort_Retention'!$D$4:$D$222))</f>
        <v>0.29</v>
      </c>
      <c r="O11" s="17">
        <f>IF(SUMPRODUCT(('19_Cohort_Retention'!$A$4:$A$222=$A11)*('19_Cohort_Retention'!$B$4:$B$222=O$4))=0,"",SUMPRODUCT(('19_Cohort_Retention'!$A$4:$A$222=$A11)*('19_Cohort_Retention'!$B$4:$B$222=O$4)*'19_Cohort_Retention'!$D$4:$D$222))</f>
        <v>0.13</v>
      </c>
    </row>
    <row r="12" spans="1:15">
      <c r="A12" s="12" t="s">
        <v>28</v>
      </c>
      <c r="B12" s="16">
        <f>SUMPRODUCT(('19_Cohort_Retention'!$A$4:$A$222=$A12)*('19_Cohort_Retention'!$B$4:$B$222=0)*'19_Cohort_Retention'!$C$4:$C$222)</f>
        <v>4057</v>
      </c>
      <c r="C12" s="17">
        <f>IF(SUMPRODUCT(('19_Cohort_Retention'!$A$4:$A$222=$A12)*('19_Cohort_Retention'!$B$4:$B$222=C$4))=0,"",SUMPRODUCT(('19_Cohort_Retention'!$A$4:$A$222=$A12)*('19_Cohort_Retention'!$B$4:$B$222=C$4)*'19_Cohort_Retention'!$D$4:$D$222))</f>
        <v>100</v>
      </c>
      <c r="D12" s="17">
        <f>IF(SUMPRODUCT(('19_Cohort_Retention'!$A$4:$A$222=$A12)*('19_Cohort_Retention'!$B$4:$B$222=D$4))=0,"",SUMPRODUCT(('19_Cohort_Retention'!$A$4:$A$222=$A12)*('19_Cohort_Retention'!$B$4:$B$222=D$4)*'19_Cohort_Retention'!$D$4:$D$222))</f>
        <v>0.69</v>
      </c>
      <c r="E12" s="17">
        <f>IF(SUMPRODUCT(('19_Cohort_Retention'!$A$4:$A$222=$A12)*('19_Cohort_Retention'!$B$4:$B$222=E$4))=0,"",SUMPRODUCT(('19_Cohort_Retention'!$A$4:$A$222=$A12)*('19_Cohort_Retention'!$B$4:$B$222=E$4)*'19_Cohort_Retention'!$D$4:$D$222))</f>
        <v>0.35</v>
      </c>
      <c r="F12" s="17">
        <f>IF(SUMPRODUCT(('19_Cohort_Retention'!$A$4:$A$222=$A12)*('19_Cohort_Retention'!$B$4:$B$222=F$4))=0,"",SUMPRODUCT(('19_Cohort_Retention'!$A$4:$A$222=$A12)*('19_Cohort_Retention'!$B$4:$B$222=F$4)*'19_Cohort_Retention'!$D$4:$D$222))</f>
        <v>0.27</v>
      </c>
      <c r="G12" s="17">
        <f>IF(SUMPRODUCT(('19_Cohort_Retention'!$A$4:$A$222=$A12)*('19_Cohort_Retention'!$B$4:$B$222=G$4))=0,"",SUMPRODUCT(('19_Cohort_Retention'!$A$4:$A$222=$A12)*('19_Cohort_Retention'!$B$4:$B$222=G$4)*'19_Cohort_Retention'!$D$4:$D$222))</f>
        <v>0.35</v>
      </c>
      <c r="H12" s="17">
        <f>IF(SUMPRODUCT(('19_Cohort_Retention'!$A$4:$A$222=$A12)*('19_Cohort_Retention'!$B$4:$B$222=H$4))=0,"",SUMPRODUCT(('19_Cohort_Retention'!$A$4:$A$222=$A12)*('19_Cohort_Retention'!$B$4:$B$222=H$4)*'19_Cohort_Retention'!$D$4:$D$222))</f>
        <v>0.52</v>
      </c>
      <c r="I12" s="17">
        <f>IF(SUMPRODUCT(('19_Cohort_Retention'!$A$4:$A$222=$A12)*('19_Cohort_Retention'!$B$4:$B$222=I$4))=0,"",SUMPRODUCT(('19_Cohort_Retention'!$A$4:$A$222=$A12)*('19_Cohort_Retention'!$B$4:$B$222=I$4)*'19_Cohort_Retention'!$D$4:$D$222))</f>
        <v>0.3</v>
      </c>
      <c r="J12" s="17">
        <f>IF(SUMPRODUCT(('19_Cohort_Retention'!$A$4:$A$222=$A12)*('19_Cohort_Retention'!$B$4:$B$222=J$4))=0,"",SUMPRODUCT(('19_Cohort_Retention'!$A$4:$A$222=$A12)*('19_Cohort_Retention'!$B$4:$B$222=J$4)*'19_Cohort_Retention'!$D$4:$D$222))</f>
        <v>0.27</v>
      </c>
      <c r="K12" s="17">
        <f>IF(SUMPRODUCT(('19_Cohort_Retention'!$A$4:$A$222=$A12)*('19_Cohort_Retention'!$B$4:$B$222=K$4))=0,"",SUMPRODUCT(('19_Cohort_Retention'!$A$4:$A$222=$A12)*('19_Cohort_Retention'!$B$4:$B$222=K$4)*'19_Cohort_Retention'!$D$4:$D$222))</f>
        <v>0.15</v>
      </c>
      <c r="L12" s="17">
        <f>IF(SUMPRODUCT(('19_Cohort_Retention'!$A$4:$A$222=$A12)*('19_Cohort_Retention'!$B$4:$B$222=L$4))=0,"",SUMPRODUCT(('19_Cohort_Retention'!$A$4:$A$222=$A12)*('19_Cohort_Retention'!$B$4:$B$222=L$4)*'19_Cohort_Retention'!$D$4:$D$222))</f>
        <v>0.15</v>
      </c>
      <c r="M12" s="17">
        <f>IF(SUMPRODUCT(('19_Cohort_Retention'!$A$4:$A$222=$A12)*('19_Cohort_Retention'!$B$4:$B$222=M$4))=0,"",SUMPRODUCT(('19_Cohort_Retention'!$A$4:$A$222=$A12)*('19_Cohort_Retention'!$B$4:$B$222=M$4)*'19_Cohort_Retention'!$D$4:$D$222))</f>
        <v>0.25</v>
      </c>
      <c r="N12" s="17">
        <f>IF(SUMPRODUCT(('19_Cohort_Retention'!$A$4:$A$222=$A12)*('19_Cohort_Retention'!$B$4:$B$222=N$4))=0,"",SUMPRODUCT(('19_Cohort_Retention'!$A$4:$A$222=$A12)*('19_Cohort_Retention'!$B$4:$B$222=N$4)*'19_Cohort_Retention'!$D$4:$D$222))</f>
        <v>0.2</v>
      </c>
      <c r="O12" s="17">
        <f>IF(SUMPRODUCT(('19_Cohort_Retention'!$A$4:$A$222=$A12)*('19_Cohort_Retention'!$B$4:$B$222=O$4))=0,"",SUMPRODUCT(('19_Cohort_Retention'!$A$4:$A$222=$A12)*('19_Cohort_Retention'!$B$4:$B$222=O$4)*'19_Cohort_Retention'!$D$4:$D$222))</f>
        <v>0.12</v>
      </c>
    </row>
    <row r="13" spans="1:15">
      <c r="A13" s="12" t="s">
        <v>29</v>
      </c>
      <c r="B13" s="16">
        <f>SUMPRODUCT(('19_Cohort_Retention'!$A$4:$A$222=$A13)*('19_Cohort_Retention'!$B$4:$B$222=0)*'19_Cohort_Retention'!$C$4:$C$222)</f>
        <v>4004</v>
      </c>
      <c r="C13" s="17">
        <f>IF(SUMPRODUCT(('19_Cohort_Retention'!$A$4:$A$222=$A13)*('19_Cohort_Retention'!$B$4:$B$222=C$4))=0,"",SUMPRODUCT(('19_Cohort_Retention'!$A$4:$A$222=$A13)*('19_Cohort_Retention'!$B$4:$B$222=C$4)*'19_Cohort_Retention'!$D$4:$D$222))</f>
        <v>100</v>
      </c>
      <c r="D13" s="17">
        <f>IF(SUMPRODUCT(('19_Cohort_Retention'!$A$4:$A$222=$A13)*('19_Cohort_Retention'!$B$4:$B$222=D$4))=0,"",SUMPRODUCT(('19_Cohort_Retention'!$A$4:$A$222=$A13)*('19_Cohort_Retention'!$B$4:$B$222=D$4)*'19_Cohort_Retention'!$D$4:$D$222))</f>
        <v>0.7</v>
      </c>
      <c r="E13" s="17">
        <f>IF(SUMPRODUCT(('19_Cohort_Retention'!$A$4:$A$222=$A13)*('19_Cohort_Retention'!$B$4:$B$222=E$4))=0,"",SUMPRODUCT(('19_Cohort_Retention'!$A$4:$A$222=$A13)*('19_Cohort_Retention'!$B$4:$B$222=E$4)*'19_Cohort_Retention'!$D$4:$D$222))</f>
        <v>0.55</v>
      </c>
      <c r="F13" s="17">
        <f>IF(SUMPRODUCT(('19_Cohort_Retention'!$A$4:$A$222=$A13)*('19_Cohort_Retention'!$B$4:$B$222=F$4))=0,"",SUMPRODUCT(('19_Cohort_Retention'!$A$4:$A$222=$A13)*('19_Cohort_Retention'!$B$4:$B$222=F$4)*'19_Cohort_Retention'!$D$4:$D$222))</f>
        <v>0.27</v>
      </c>
      <c r="G13" s="17">
        <f>IF(SUMPRODUCT(('19_Cohort_Retention'!$A$4:$A$222=$A13)*('19_Cohort_Retention'!$B$4:$B$222=G$4))=0,"",SUMPRODUCT(('19_Cohort_Retention'!$A$4:$A$222=$A13)*('19_Cohort_Retention'!$B$4:$B$222=G$4)*'19_Cohort_Retention'!$D$4:$D$222))</f>
        <v>0.45</v>
      </c>
      <c r="H13" s="17">
        <f>IF(SUMPRODUCT(('19_Cohort_Retention'!$A$4:$A$222=$A13)*('19_Cohort_Retention'!$B$4:$B$222=H$4))=0,"",SUMPRODUCT(('19_Cohort_Retention'!$A$4:$A$222=$A13)*('19_Cohort_Retention'!$B$4:$B$222=H$4)*'19_Cohort_Retention'!$D$4:$D$222))</f>
        <v>0.22</v>
      </c>
      <c r="I13" s="17">
        <f>IF(SUMPRODUCT(('19_Cohort_Retention'!$A$4:$A$222=$A13)*('19_Cohort_Retention'!$B$4:$B$222=I$4))=0,"",SUMPRODUCT(('19_Cohort_Retention'!$A$4:$A$222=$A13)*('19_Cohort_Retention'!$B$4:$B$222=I$4)*'19_Cohort_Retention'!$D$4:$D$222))</f>
        <v>0.22</v>
      </c>
      <c r="J13" s="17">
        <f>IF(SUMPRODUCT(('19_Cohort_Retention'!$A$4:$A$222=$A13)*('19_Cohort_Retention'!$B$4:$B$222=J$4))=0,"",SUMPRODUCT(('19_Cohort_Retention'!$A$4:$A$222=$A13)*('19_Cohort_Retention'!$B$4:$B$222=J$4)*'19_Cohort_Retention'!$D$4:$D$222))</f>
        <v>0.25</v>
      </c>
      <c r="K13" s="17">
        <f>IF(SUMPRODUCT(('19_Cohort_Retention'!$A$4:$A$222=$A13)*('19_Cohort_Retention'!$B$4:$B$222=K$4))=0,"",SUMPRODUCT(('19_Cohort_Retention'!$A$4:$A$222=$A13)*('19_Cohort_Retention'!$B$4:$B$222=K$4)*'19_Cohort_Retention'!$D$4:$D$222))</f>
        <v>0.27</v>
      </c>
      <c r="L13" s="17">
        <f>IF(SUMPRODUCT(('19_Cohort_Retention'!$A$4:$A$222=$A13)*('19_Cohort_Retention'!$B$4:$B$222=L$4))=0,"",SUMPRODUCT(('19_Cohort_Retention'!$A$4:$A$222=$A13)*('19_Cohort_Retention'!$B$4:$B$222=L$4)*'19_Cohort_Retention'!$D$4:$D$222))</f>
        <v>0.17</v>
      </c>
      <c r="M13" s="17">
        <f>IF(SUMPRODUCT(('19_Cohort_Retention'!$A$4:$A$222=$A13)*('19_Cohort_Retention'!$B$4:$B$222=M$4))=0,"",SUMPRODUCT(('19_Cohort_Retention'!$A$4:$A$222=$A13)*('19_Cohort_Retention'!$B$4:$B$222=M$4)*'19_Cohort_Retention'!$D$4:$D$222))</f>
        <v>0.25</v>
      </c>
      <c r="N13" s="17">
        <f>IF(SUMPRODUCT(('19_Cohort_Retention'!$A$4:$A$222=$A13)*('19_Cohort_Retention'!$B$4:$B$222=N$4))=0,"",SUMPRODUCT(('19_Cohort_Retention'!$A$4:$A$222=$A13)*('19_Cohort_Retention'!$B$4:$B$222=N$4)*'19_Cohort_Retention'!$D$4:$D$222))</f>
        <v>0.07</v>
      </c>
      <c r="O13" s="17" t="str">
        <f>IF(SUMPRODUCT(('19_Cohort_Retention'!$A$4:$A$222=$A13)*('19_Cohort_Retention'!$B$4:$B$222=O$4))=0,"",SUMPRODUCT(('19_Cohort_Retention'!$A$4:$A$222=$A13)*('19_Cohort_Retention'!$B$4:$B$222=O$4)*'19_Cohort_Retention'!$D$4:$D$222))</f>
        <v/>
      </c>
    </row>
    <row r="14" spans="1:15">
      <c r="A14" s="12" t="s">
        <v>30</v>
      </c>
      <c r="B14" s="16">
        <f>SUMPRODUCT(('19_Cohort_Retention'!$A$4:$A$222=$A14)*('19_Cohort_Retention'!$B$4:$B$222=0)*'19_Cohort_Retention'!$C$4:$C$222)</f>
        <v>4328</v>
      </c>
      <c r="C14" s="17">
        <f>IF(SUMPRODUCT(('19_Cohort_Retention'!$A$4:$A$222=$A14)*('19_Cohort_Retention'!$B$4:$B$222=C$4))=0,"",SUMPRODUCT(('19_Cohort_Retention'!$A$4:$A$222=$A14)*('19_Cohort_Retention'!$B$4:$B$222=C$4)*'19_Cohort_Retention'!$D$4:$D$222))</f>
        <v>100</v>
      </c>
      <c r="D14" s="17">
        <f>IF(SUMPRODUCT(('19_Cohort_Retention'!$A$4:$A$222=$A14)*('19_Cohort_Retention'!$B$4:$B$222=D$4))=0,"",SUMPRODUCT(('19_Cohort_Retention'!$A$4:$A$222=$A14)*('19_Cohort_Retention'!$B$4:$B$222=D$4)*'19_Cohort_Retention'!$D$4:$D$222))</f>
        <v>0.72</v>
      </c>
      <c r="E14" s="17">
        <f>IF(SUMPRODUCT(('19_Cohort_Retention'!$A$4:$A$222=$A14)*('19_Cohort_Retention'!$B$4:$B$222=E$4))=0,"",SUMPRODUCT(('19_Cohort_Retention'!$A$4:$A$222=$A14)*('19_Cohort_Retention'!$B$4:$B$222=E$4)*'19_Cohort_Retention'!$D$4:$D$222))</f>
        <v>0.25</v>
      </c>
      <c r="F14" s="17">
        <f>IF(SUMPRODUCT(('19_Cohort_Retention'!$A$4:$A$222=$A14)*('19_Cohort_Retention'!$B$4:$B$222=F$4))=0,"",SUMPRODUCT(('19_Cohort_Retention'!$A$4:$A$222=$A14)*('19_Cohort_Retention'!$B$4:$B$222=F$4)*'19_Cohort_Retention'!$D$4:$D$222))</f>
        <v>0.09</v>
      </c>
      <c r="G14" s="17">
        <f>IF(SUMPRODUCT(('19_Cohort_Retention'!$A$4:$A$222=$A14)*('19_Cohort_Retention'!$B$4:$B$222=G$4))=0,"",SUMPRODUCT(('19_Cohort_Retention'!$A$4:$A$222=$A14)*('19_Cohort_Retention'!$B$4:$B$222=G$4)*'19_Cohort_Retention'!$D$4:$D$222))</f>
        <v>0.23</v>
      </c>
      <c r="H14" s="17">
        <f>IF(SUMPRODUCT(('19_Cohort_Retention'!$A$4:$A$222=$A14)*('19_Cohort_Retention'!$B$4:$B$222=H$4))=0,"",SUMPRODUCT(('19_Cohort_Retention'!$A$4:$A$222=$A14)*('19_Cohort_Retention'!$B$4:$B$222=H$4)*'19_Cohort_Retention'!$D$4:$D$222))</f>
        <v>0.21</v>
      </c>
      <c r="I14" s="17">
        <f>IF(SUMPRODUCT(('19_Cohort_Retention'!$A$4:$A$222=$A14)*('19_Cohort_Retention'!$B$4:$B$222=I$4))=0,"",SUMPRODUCT(('19_Cohort_Retention'!$A$4:$A$222=$A14)*('19_Cohort_Retention'!$B$4:$B$222=I$4)*'19_Cohort_Retention'!$D$4:$D$222))</f>
        <v>0.21</v>
      </c>
      <c r="J14" s="17">
        <f>IF(SUMPRODUCT(('19_Cohort_Retention'!$A$4:$A$222=$A14)*('19_Cohort_Retention'!$B$4:$B$222=J$4))=0,"",SUMPRODUCT(('19_Cohort_Retention'!$A$4:$A$222=$A14)*('19_Cohort_Retention'!$B$4:$B$222=J$4)*'19_Cohort_Retention'!$D$4:$D$222))</f>
        <v>0.37</v>
      </c>
      <c r="K14" s="17">
        <f>IF(SUMPRODUCT(('19_Cohort_Retention'!$A$4:$A$222=$A14)*('19_Cohort_Retention'!$B$4:$B$222=K$4))=0,"",SUMPRODUCT(('19_Cohort_Retention'!$A$4:$A$222=$A14)*('19_Cohort_Retention'!$B$4:$B$222=K$4)*'19_Cohort_Retention'!$D$4:$D$222))</f>
        <v>0.28</v>
      </c>
      <c r="L14" s="17">
        <f>IF(SUMPRODUCT(('19_Cohort_Retention'!$A$4:$A$222=$A14)*('19_Cohort_Retention'!$B$4:$B$222=L$4))=0,"",SUMPRODUCT(('19_Cohort_Retention'!$A$4:$A$222=$A14)*('19_Cohort_Retention'!$B$4:$B$222=L$4)*'19_Cohort_Retention'!$D$4:$D$222))</f>
        <v>0.18</v>
      </c>
      <c r="M14" s="17">
        <f>IF(SUMPRODUCT(('19_Cohort_Retention'!$A$4:$A$222=$A14)*('19_Cohort_Retention'!$B$4:$B$222=M$4))=0,"",SUMPRODUCT(('19_Cohort_Retention'!$A$4:$A$222=$A14)*('19_Cohort_Retention'!$B$4:$B$222=M$4)*'19_Cohort_Retention'!$D$4:$D$222))</f>
        <v>0.21</v>
      </c>
      <c r="N14" s="17" t="str">
        <f>IF(SUMPRODUCT(('19_Cohort_Retention'!$A$4:$A$222=$A14)*('19_Cohort_Retention'!$B$4:$B$222=N$4))=0,"",SUMPRODUCT(('19_Cohort_Retention'!$A$4:$A$222=$A14)*('19_Cohort_Retention'!$B$4:$B$222=N$4)*'19_Cohort_Retention'!$D$4:$D$222))</f>
        <v/>
      </c>
      <c r="O14" s="17" t="str">
        <f>IF(SUMPRODUCT(('19_Cohort_Retention'!$A$4:$A$222=$A14)*('19_Cohort_Retention'!$B$4:$B$222=O$4))=0,"",SUMPRODUCT(('19_Cohort_Retention'!$A$4:$A$222=$A14)*('19_Cohort_Retention'!$B$4:$B$222=O$4)*'19_Cohort_Retention'!$D$4:$D$222))</f>
        <v/>
      </c>
    </row>
    <row r="15" spans="1:15">
      <c r="A15" s="12" t="s">
        <v>31</v>
      </c>
      <c r="B15" s="16">
        <f>SUMPRODUCT(('19_Cohort_Retention'!$A$4:$A$222=$A15)*('19_Cohort_Retention'!$B$4:$B$222=0)*'19_Cohort_Retention'!$C$4:$C$222)</f>
        <v>7060</v>
      </c>
      <c r="C15" s="17">
        <f>IF(SUMPRODUCT(('19_Cohort_Retention'!$A$4:$A$222=$A15)*('19_Cohort_Retention'!$B$4:$B$222=C$4))=0,"",SUMPRODUCT(('19_Cohort_Retention'!$A$4:$A$222=$A15)*('19_Cohort_Retention'!$B$4:$B$222=C$4)*'19_Cohort_Retention'!$D$4:$D$222))</f>
        <v>100</v>
      </c>
      <c r="D15" s="17">
        <f>IF(SUMPRODUCT(('19_Cohort_Retention'!$A$4:$A$222=$A15)*('19_Cohort_Retention'!$B$4:$B$222=D$4))=0,"",SUMPRODUCT(('19_Cohort_Retention'!$A$4:$A$222=$A15)*('19_Cohort_Retention'!$B$4:$B$222=D$4)*'19_Cohort_Retention'!$D$4:$D$222))</f>
        <v>0.57</v>
      </c>
      <c r="E15" s="17">
        <f>IF(SUMPRODUCT(('19_Cohort_Retention'!$A$4:$A$222=$A15)*('19_Cohort_Retention'!$B$4:$B$222=E$4))=0,"",SUMPRODUCT(('19_Cohort_Retention'!$A$4:$A$222=$A15)*('19_Cohort_Retention'!$B$4:$B$222=E$4)*'19_Cohort_Retention'!$D$4:$D$222))</f>
        <v>0.37</v>
      </c>
      <c r="F15" s="17">
        <f>IF(SUMPRODUCT(('19_Cohort_Retention'!$A$4:$A$222=$A15)*('19_Cohort_Retention'!$B$4:$B$222=F$4))=0,"",SUMPRODUCT(('19_Cohort_Retention'!$A$4:$A$222=$A15)*('19_Cohort_Retention'!$B$4:$B$222=F$4)*'19_Cohort_Retention'!$D$4:$D$222))</f>
        <v>0.17</v>
      </c>
      <c r="G15" s="17">
        <f>IF(SUMPRODUCT(('19_Cohort_Retention'!$A$4:$A$222=$A15)*('19_Cohort_Retention'!$B$4:$B$222=G$4))=0,"",SUMPRODUCT(('19_Cohort_Retention'!$A$4:$A$222=$A15)*('19_Cohort_Retention'!$B$4:$B$222=G$4)*'19_Cohort_Retention'!$D$4:$D$222))</f>
        <v>0.17</v>
      </c>
      <c r="H15" s="17">
        <f>IF(SUMPRODUCT(('19_Cohort_Retention'!$A$4:$A$222=$A15)*('19_Cohort_Retention'!$B$4:$B$222=H$4))=0,"",SUMPRODUCT(('19_Cohort_Retention'!$A$4:$A$222=$A15)*('19_Cohort_Retention'!$B$4:$B$222=H$4)*'19_Cohort_Retention'!$D$4:$D$222))</f>
        <v>0.18</v>
      </c>
      <c r="I15" s="17">
        <f>IF(SUMPRODUCT(('19_Cohort_Retention'!$A$4:$A$222=$A15)*('19_Cohort_Retention'!$B$4:$B$222=I$4))=0,"",SUMPRODUCT(('19_Cohort_Retention'!$A$4:$A$222=$A15)*('19_Cohort_Retention'!$B$4:$B$222=I$4)*'19_Cohort_Retention'!$D$4:$D$222))</f>
        <v>0.11</v>
      </c>
      <c r="J15" s="17">
        <f>IF(SUMPRODUCT(('19_Cohort_Retention'!$A$4:$A$222=$A15)*('19_Cohort_Retention'!$B$4:$B$222=J$4))=0,"",SUMPRODUCT(('19_Cohort_Retention'!$A$4:$A$222=$A15)*('19_Cohort_Retention'!$B$4:$B$222=J$4)*'19_Cohort_Retention'!$D$4:$D$222))</f>
        <v>0.18</v>
      </c>
      <c r="K15" s="17">
        <f>IF(SUMPRODUCT(('19_Cohort_Retention'!$A$4:$A$222=$A15)*('19_Cohort_Retention'!$B$4:$B$222=K$4))=0,"",SUMPRODUCT(('19_Cohort_Retention'!$A$4:$A$222=$A15)*('19_Cohort_Retention'!$B$4:$B$222=K$4)*'19_Cohort_Retention'!$D$4:$D$222))</f>
        <v>0.13</v>
      </c>
      <c r="L15" s="17">
        <f>IF(SUMPRODUCT(('19_Cohort_Retention'!$A$4:$A$222=$A15)*('19_Cohort_Retention'!$B$4:$B$222=L$4))=0,"",SUMPRODUCT(('19_Cohort_Retention'!$A$4:$A$222=$A15)*('19_Cohort_Retention'!$B$4:$B$222=L$4)*'19_Cohort_Retention'!$D$4:$D$222))</f>
        <v>0.06</v>
      </c>
      <c r="M15" s="17" t="str">
        <f>IF(SUMPRODUCT(('19_Cohort_Retention'!$A$4:$A$222=$A15)*('19_Cohort_Retention'!$B$4:$B$222=M$4))=0,"",SUMPRODUCT(('19_Cohort_Retention'!$A$4:$A$222=$A15)*('19_Cohort_Retention'!$B$4:$B$222=M$4)*'19_Cohort_Retention'!$D$4:$D$222))</f>
        <v/>
      </c>
      <c r="N15" s="17" t="str">
        <f>IF(SUMPRODUCT(('19_Cohort_Retention'!$A$4:$A$222=$A15)*('19_Cohort_Retention'!$B$4:$B$222=N$4))=0,"",SUMPRODUCT(('19_Cohort_Retention'!$A$4:$A$222=$A15)*('19_Cohort_Retention'!$B$4:$B$222=N$4)*'19_Cohort_Retention'!$D$4:$D$222))</f>
        <v/>
      </c>
      <c r="O15" s="17" t="str">
        <f>IF(SUMPRODUCT(('19_Cohort_Retention'!$A$4:$A$222=$A15)*('19_Cohort_Retention'!$B$4:$B$222=O$4))=0,"",SUMPRODUCT(('19_Cohort_Retention'!$A$4:$A$222=$A15)*('19_Cohort_Retention'!$B$4:$B$222=O$4)*'19_Cohort_Retention'!$D$4:$D$222))</f>
        <v/>
      </c>
    </row>
    <row r="16" spans="1:15">
      <c r="A16" s="12" t="s">
        <v>32</v>
      </c>
      <c r="B16" s="16">
        <f>SUMPRODUCT(('19_Cohort_Retention'!$A$4:$A$222=$A16)*('19_Cohort_Retention'!$B$4:$B$222=0)*'19_Cohort_Retention'!$C$4:$C$222)</f>
        <v>5338</v>
      </c>
      <c r="C16" s="17">
        <f>IF(SUMPRODUCT(('19_Cohort_Retention'!$A$4:$A$222=$A16)*('19_Cohort_Retention'!$B$4:$B$222=C$4))=0,"",SUMPRODUCT(('19_Cohort_Retention'!$A$4:$A$222=$A16)*('19_Cohort_Retention'!$B$4:$B$222=C$4)*'19_Cohort_Retention'!$D$4:$D$222))</f>
        <v>100</v>
      </c>
      <c r="D16" s="17">
        <f>IF(SUMPRODUCT(('19_Cohort_Retention'!$A$4:$A$222=$A16)*('19_Cohort_Retention'!$B$4:$B$222=D$4))=0,"",SUMPRODUCT(('19_Cohort_Retention'!$A$4:$A$222=$A16)*('19_Cohort_Retention'!$B$4:$B$222=D$4)*'19_Cohort_Retention'!$D$4:$D$222))</f>
        <v>0.21</v>
      </c>
      <c r="E16" s="17">
        <f>IF(SUMPRODUCT(('19_Cohort_Retention'!$A$4:$A$222=$A16)*('19_Cohort_Retention'!$B$4:$B$222=E$4))=0,"",SUMPRODUCT(('19_Cohort_Retention'!$A$4:$A$222=$A16)*('19_Cohort_Retention'!$B$4:$B$222=E$4)*'19_Cohort_Retention'!$D$4:$D$222))</f>
        <v>0.28</v>
      </c>
      <c r="F16" s="17">
        <f>IF(SUMPRODUCT(('19_Cohort_Retention'!$A$4:$A$222=$A16)*('19_Cohort_Retention'!$B$4:$B$222=F$4))=0,"",SUMPRODUCT(('19_Cohort_Retention'!$A$4:$A$222=$A16)*('19_Cohort_Retention'!$B$4:$B$222=F$4)*'19_Cohort_Retention'!$D$4:$D$222))</f>
        <v>0.34</v>
      </c>
      <c r="G16" s="17">
        <f>IF(SUMPRODUCT(('19_Cohort_Retention'!$A$4:$A$222=$A16)*('19_Cohort_Retention'!$B$4:$B$222=G$4))=0,"",SUMPRODUCT(('19_Cohort_Retention'!$A$4:$A$222=$A16)*('19_Cohort_Retention'!$B$4:$B$222=G$4)*'19_Cohort_Retention'!$D$4:$D$222))</f>
        <v>0.26</v>
      </c>
      <c r="H16" s="17">
        <f>IF(SUMPRODUCT(('19_Cohort_Retention'!$A$4:$A$222=$A16)*('19_Cohort_Retention'!$B$4:$B$222=H$4))=0,"",SUMPRODUCT(('19_Cohort_Retention'!$A$4:$A$222=$A16)*('19_Cohort_Retention'!$B$4:$B$222=H$4)*'19_Cohort_Retention'!$D$4:$D$222))</f>
        <v>0.21</v>
      </c>
      <c r="I16" s="17">
        <f>IF(SUMPRODUCT(('19_Cohort_Retention'!$A$4:$A$222=$A16)*('19_Cohort_Retention'!$B$4:$B$222=I$4))=0,"",SUMPRODUCT(('19_Cohort_Retention'!$A$4:$A$222=$A16)*('19_Cohort_Retention'!$B$4:$B$222=I$4)*'19_Cohort_Retention'!$D$4:$D$222))</f>
        <v>0.17</v>
      </c>
      <c r="J16" s="17">
        <f>IF(SUMPRODUCT(('19_Cohort_Retention'!$A$4:$A$222=$A16)*('19_Cohort_Retention'!$B$4:$B$222=J$4))=0,"",SUMPRODUCT(('19_Cohort_Retention'!$A$4:$A$222=$A16)*('19_Cohort_Retention'!$B$4:$B$222=J$4)*'19_Cohort_Retention'!$D$4:$D$222))</f>
        <v>0.02</v>
      </c>
      <c r="K16" s="17">
        <f>IF(SUMPRODUCT(('19_Cohort_Retention'!$A$4:$A$222=$A16)*('19_Cohort_Retention'!$B$4:$B$222=K$4))=0,"",SUMPRODUCT(('19_Cohort_Retention'!$A$4:$A$222=$A16)*('19_Cohort_Retention'!$B$4:$B$222=K$4)*'19_Cohort_Retention'!$D$4:$D$222))</f>
        <v>0.19</v>
      </c>
      <c r="L16" s="17" t="str">
        <f>IF(SUMPRODUCT(('19_Cohort_Retention'!$A$4:$A$222=$A16)*('19_Cohort_Retention'!$B$4:$B$222=L$4))=0,"",SUMPRODUCT(('19_Cohort_Retention'!$A$4:$A$222=$A16)*('19_Cohort_Retention'!$B$4:$B$222=L$4)*'19_Cohort_Retention'!$D$4:$D$222))</f>
        <v/>
      </c>
      <c r="M16" s="17" t="str">
        <f>IF(SUMPRODUCT(('19_Cohort_Retention'!$A$4:$A$222=$A16)*('19_Cohort_Retention'!$B$4:$B$222=M$4))=0,"",SUMPRODUCT(('19_Cohort_Retention'!$A$4:$A$222=$A16)*('19_Cohort_Retention'!$B$4:$B$222=M$4)*'19_Cohort_Retention'!$D$4:$D$222))</f>
        <v/>
      </c>
      <c r="N16" s="17" t="str">
        <f>IF(SUMPRODUCT(('19_Cohort_Retention'!$A$4:$A$222=$A16)*('19_Cohort_Retention'!$B$4:$B$222=N$4))=0,"",SUMPRODUCT(('19_Cohort_Retention'!$A$4:$A$222=$A16)*('19_Cohort_Retention'!$B$4:$B$222=N$4)*'19_Cohort_Retention'!$D$4:$D$222))</f>
        <v/>
      </c>
      <c r="O16" s="17" t="str">
        <f>IF(SUMPRODUCT(('19_Cohort_Retention'!$A$4:$A$222=$A16)*('19_Cohort_Retention'!$B$4:$B$222=O$4))=0,"",SUMPRODUCT(('19_Cohort_Retention'!$A$4:$A$222=$A16)*('19_Cohort_Retention'!$B$4:$B$222=O$4)*'19_Cohort_Retention'!$D$4:$D$222))</f>
        <v/>
      </c>
    </row>
    <row r="17" spans="1:15">
      <c r="A17" s="12" t="s">
        <v>33</v>
      </c>
      <c r="B17" s="16">
        <f>SUMPRODUCT(('19_Cohort_Retention'!$A$4:$A$222=$A17)*('19_Cohort_Retention'!$B$4:$B$222=0)*'19_Cohort_Retention'!$C$4:$C$222)</f>
        <v>6842</v>
      </c>
      <c r="C17" s="17">
        <f>IF(SUMPRODUCT(('19_Cohort_Retention'!$A$4:$A$222=$A17)*('19_Cohort_Retention'!$B$4:$B$222=C$4))=0,"",SUMPRODUCT(('19_Cohort_Retention'!$A$4:$A$222=$A17)*('19_Cohort_Retention'!$B$4:$B$222=C$4)*'19_Cohort_Retention'!$D$4:$D$222))</f>
        <v>100</v>
      </c>
      <c r="D17" s="17">
        <f>IF(SUMPRODUCT(('19_Cohort_Retention'!$A$4:$A$222=$A17)*('19_Cohort_Retention'!$B$4:$B$222=D$4))=0,"",SUMPRODUCT(('19_Cohort_Retention'!$A$4:$A$222=$A17)*('19_Cohort_Retention'!$B$4:$B$222=D$4)*'19_Cohort_Retention'!$D$4:$D$222))</f>
        <v>0.34</v>
      </c>
      <c r="E17" s="17">
        <f>IF(SUMPRODUCT(('19_Cohort_Retention'!$A$4:$A$222=$A17)*('19_Cohort_Retention'!$B$4:$B$222=E$4))=0,"",SUMPRODUCT(('19_Cohort_Retention'!$A$4:$A$222=$A17)*('19_Cohort_Retention'!$B$4:$B$222=E$4)*'19_Cohort_Retention'!$D$4:$D$222))</f>
        <v>0.37</v>
      </c>
      <c r="F17" s="17">
        <f>IF(SUMPRODUCT(('19_Cohort_Retention'!$A$4:$A$222=$A17)*('19_Cohort_Retention'!$B$4:$B$222=F$4))=0,"",SUMPRODUCT(('19_Cohort_Retention'!$A$4:$A$222=$A17)*('19_Cohort_Retention'!$B$4:$B$222=F$4)*'19_Cohort_Retention'!$D$4:$D$222))</f>
        <v>0.29</v>
      </c>
      <c r="G17" s="17">
        <f>IF(SUMPRODUCT(('19_Cohort_Retention'!$A$4:$A$222=$A17)*('19_Cohort_Retention'!$B$4:$B$222=G$4))=0,"",SUMPRODUCT(('19_Cohort_Retention'!$A$4:$A$222=$A17)*('19_Cohort_Retention'!$B$4:$B$222=G$4)*'19_Cohort_Retention'!$D$4:$D$222))</f>
        <v>0.29</v>
      </c>
      <c r="H17" s="17">
        <f>IF(SUMPRODUCT(('19_Cohort_Retention'!$A$4:$A$222=$A17)*('19_Cohort_Retention'!$B$4:$B$222=H$4))=0,"",SUMPRODUCT(('19_Cohort_Retention'!$A$4:$A$222=$A17)*('19_Cohort_Retention'!$B$4:$B$222=H$4)*'19_Cohort_Retention'!$D$4:$D$222))</f>
        <v>0.16</v>
      </c>
      <c r="I17" s="17">
        <f>IF(SUMPRODUCT(('19_Cohort_Retention'!$A$4:$A$222=$A17)*('19_Cohort_Retention'!$B$4:$B$222=I$4))=0,"",SUMPRODUCT(('19_Cohort_Retention'!$A$4:$A$222=$A17)*('19_Cohort_Retention'!$B$4:$B$222=I$4)*'19_Cohort_Retention'!$D$4:$D$222))</f>
        <v>0.18</v>
      </c>
      <c r="J17" s="17">
        <f>IF(SUMPRODUCT(('19_Cohort_Retention'!$A$4:$A$222=$A17)*('19_Cohort_Retention'!$B$4:$B$222=J$4))=0,"",SUMPRODUCT(('19_Cohort_Retention'!$A$4:$A$222=$A17)*('19_Cohort_Retention'!$B$4:$B$222=J$4)*'19_Cohort_Retention'!$D$4:$D$222))</f>
        <v>0.23</v>
      </c>
      <c r="K17" s="17" t="str">
        <f>IF(SUMPRODUCT(('19_Cohort_Retention'!$A$4:$A$222=$A17)*('19_Cohort_Retention'!$B$4:$B$222=K$4))=0,"",SUMPRODUCT(('19_Cohort_Retention'!$A$4:$A$222=$A17)*('19_Cohort_Retention'!$B$4:$B$222=K$4)*'19_Cohort_Retention'!$D$4:$D$222))</f>
        <v/>
      </c>
      <c r="L17" s="17" t="str">
        <f>IF(SUMPRODUCT(('19_Cohort_Retention'!$A$4:$A$222=$A17)*('19_Cohort_Retention'!$B$4:$B$222=L$4))=0,"",SUMPRODUCT(('19_Cohort_Retention'!$A$4:$A$222=$A17)*('19_Cohort_Retention'!$B$4:$B$222=L$4)*'19_Cohort_Retention'!$D$4:$D$222))</f>
        <v/>
      </c>
      <c r="M17" s="17" t="str">
        <f>IF(SUMPRODUCT(('19_Cohort_Retention'!$A$4:$A$222=$A17)*('19_Cohort_Retention'!$B$4:$B$222=M$4))=0,"",SUMPRODUCT(('19_Cohort_Retention'!$A$4:$A$222=$A17)*('19_Cohort_Retention'!$B$4:$B$222=M$4)*'19_Cohort_Retention'!$D$4:$D$222))</f>
        <v/>
      </c>
      <c r="N17" s="17" t="str">
        <f>IF(SUMPRODUCT(('19_Cohort_Retention'!$A$4:$A$222=$A17)*('19_Cohort_Retention'!$B$4:$B$222=N$4))=0,"",SUMPRODUCT(('19_Cohort_Retention'!$A$4:$A$222=$A17)*('19_Cohort_Retention'!$B$4:$B$222=N$4)*'19_Cohort_Retention'!$D$4:$D$222))</f>
        <v/>
      </c>
      <c r="O17" s="17" t="str">
        <f>IF(SUMPRODUCT(('19_Cohort_Retention'!$A$4:$A$222=$A17)*('19_Cohort_Retention'!$B$4:$B$222=O$4))=0,"",SUMPRODUCT(('19_Cohort_Retention'!$A$4:$A$222=$A17)*('19_Cohort_Retention'!$B$4:$B$222=O$4)*'19_Cohort_Retention'!$D$4:$D$222))</f>
        <v/>
      </c>
    </row>
    <row r="18" spans="1:15">
      <c r="A18" s="12" t="s">
        <v>34</v>
      </c>
      <c r="B18" s="16">
        <f>SUMPRODUCT(('19_Cohort_Retention'!$A$4:$A$222=$A18)*('19_Cohort_Retention'!$B$4:$B$222=0)*'19_Cohort_Retention'!$C$4:$C$222)</f>
        <v>6288</v>
      </c>
      <c r="C18" s="17">
        <f>IF(SUMPRODUCT(('19_Cohort_Retention'!$A$4:$A$222=$A18)*('19_Cohort_Retention'!$B$4:$B$222=C$4))=0,"",SUMPRODUCT(('19_Cohort_Retention'!$A$4:$A$222=$A18)*('19_Cohort_Retention'!$B$4:$B$222=C$4)*'19_Cohort_Retention'!$D$4:$D$222))</f>
        <v>100</v>
      </c>
      <c r="D18" s="17">
        <f>IF(SUMPRODUCT(('19_Cohort_Retention'!$A$4:$A$222=$A18)*('19_Cohort_Retention'!$B$4:$B$222=D$4))=0,"",SUMPRODUCT(('19_Cohort_Retention'!$A$4:$A$222=$A18)*('19_Cohort_Retention'!$B$4:$B$222=D$4)*'19_Cohort_Retention'!$D$4:$D$222))</f>
        <v>0.35</v>
      </c>
      <c r="E18" s="17">
        <f>IF(SUMPRODUCT(('19_Cohort_Retention'!$A$4:$A$222=$A18)*('19_Cohort_Retention'!$B$4:$B$222=E$4))=0,"",SUMPRODUCT(('19_Cohort_Retention'!$A$4:$A$222=$A18)*('19_Cohort_Retention'!$B$4:$B$222=E$4)*'19_Cohort_Retention'!$D$4:$D$222))</f>
        <v>0.4</v>
      </c>
      <c r="F18" s="17">
        <f>IF(SUMPRODUCT(('19_Cohort_Retention'!$A$4:$A$222=$A18)*('19_Cohort_Retention'!$B$4:$B$222=F$4))=0,"",SUMPRODUCT(('19_Cohort_Retention'!$A$4:$A$222=$A18)*('19_Cohort_Retention'!$B$4:$B$222=F$4)*'19_Cohort_Retention'!$D$4:$D$222))</f>
        <v>0.3</v>
      </c>
      <c r="G18" s="17">
        <f>IF(SUMPRODUCT(('19_Cohort_Retention'!$A$4:$A$222=$A18)*('19_Cohort_Retention'!$B$4:$B$222=G$4))=0,"",SUMPRODUCT(('19_Cohort_Retention'!$A$4:$A$222=$A18)*('19_Cohort_Retention'!$B$4:$B$222=G$4)*'19_Cohort_Retention'!$D$4:$D$222))</f>
        <v>0.25</v>
      </c>
      <c r="H18" s="17">
        <f>IF(SUMPRODUCT(('19_Cohort_Retention'!$A$4:$A$222=$A18)*('19_Cohort_Retention'!$B$4:$B$222=H$4))=0,"",SUMPRODUCT(('19_Cohort_Retention'!$A$4:$A$222=$A18)*('19_Cohort_Retention'!$B$4:$B$222=H$4)*'19_Cohort_Retention'!$D$4:$D$222))</f>
        <v>0.22</v>
      </c>
      <c r="I18" s="17">
        <f>IF(SUMPRODUCT(('19_Cohort_Retention'!$A$4:$A$222=$A18)*('19_Cohort_Retention'!$B$4:$B$222=I$4))=0,"",SUMPRODUCT(('19_Cohort_Retention'!$A$4:$A$222=$A18)*('19_Cohort_Retention'!$B$4:$B$222=I$4)*'19_Cohort_Retention'!$D$4:$D$222))</f>
        <v>0.21</v>
      </c>
      <c r="J18" s="17" t="str">
        <f>IF(SUMPRODUCT(('19_Cohort_Retention'!$A$4:$A$222=$A18)*('19_Cohort_Retention'!$B$4:$B$222=J$4))=0,"",SUMPRODUCT(('19_Cohort_Retention'!$A$4:$A$222=$A18)*('19_Cohort_Retention'!$B$4:$B$222=J$4)*'19_Cohort_Retention'!$D$4:$D$222))</f>
        <v/>
      </c>
      <c r="K18" s="17" t="str">
        <f>IF(SUMPRODUCT(('19_Cohort_Retention'!$A$4:$A$222=$A18)*('19_Cohort_Retention'!$B$4:$B$222=K$4))=0,"",SUMPRODUCT(('19_Cohort_Retention'!$A$4:$A$222=$A18)*('19_Cohort_Retention'!$B$4:$B$222=K$4)*'19_Cohort_Retention'!$D$4:$D$222))</f>
        <v/>
      </c>
      <c r="L18" s="17" t="str">
        <f>IF(SUMPRODUCT(('19_Cohort_Retention'!$A$4:$A$222=$A18)*('19_Cohort_Retention'!$B$4:$B$222=L$4))=0,"",SUMPRODUCT(('19_Cohort_Retention'!$A$4:$A$222=$A18)*('19_Cohort_Retention'!$B$4:$B$222=L$4)*'19_Cohort_Retention'!$D$4:$D$222))</f>
        <v/>
      </c>
      <c r="M18" s="17" t="str">
        <f>IF(SUMPRODUCT(('19_Cohort_Retention'!$A$4:$A$222=$A18)*('19_Cohort_Retention'!$B$4:$B$222=M$4))=0,"",SUMPRODUCT(('19_Cohort_Retention'!$A$4:$A$222=$A18)*('19_Cohort_Retention'!$B$4:$B$222=M$4)*'19_Cohort_Retention'!$D$4:$D$222))</f>
        <v/>
      </c>
      <c r="N18" s="17" t="str">
        <f>IF(SUMPRODUCT(('19_Cohort_Retention'!$A$4:$A$222=$A18)*('19_Cohort_Retention'!$B$4:$B$222=N$4))=0,"",SUMPRODUCT(('19_Cohort_Retention'!$A$4:$A$222=$A18)*('19_Cohort_Retention'!$B$4:$B$222=N$4)*'19_Cohort_Retention'!$D$4:$D$222))</f>
        <v/>
      </c>
      <c r="O18" s="17" t="str">
        <f>IF(SUMPRODUCT(('19_Cohort_Retention'!$A$4:$A$222=$A18)*('19_Cohort_Retention'!$B$4:$B$222=O$4))=0,"",SUMPRODUCT(('19_Cohort_Retention'!$A$4:$A$222=$A18)*('19_Cohort_Retention'!$B$4:$B$222=O$4)*'19_Cohort_Retention'!$D$4:$D$222))</f>
        <v/>
      </c>
    </row>
    <row r="19" spans="1:15">
      <c r="A19" s="12" t="s">
        <v>35</v>
      </c>
      <c r="B19" s="16">
        <f>SUMPRODUCT(('19_Cohort_Retention'!$A$4:$A$222=$A19)*('19_Cohort_Retention'!$B$4:$B$222=0)*'19_Cohort_Retention'!$C$4:$C$222)</f>
        <v>6774</v>
      </c>
      <c r="C19" s="17">
        <f>IF(SUMPRODUCT(('19_Cohort_Retention'!$A$4:$A$222=$A19)*('19_Cohort_Retention'!$B$4:$B$222=C$4))=0,"",SUMPRODUCT(('19_Cohort_Retention'!$A$4:$A$222=$A19)*('19_Cohort_Retention'!$B$4:$B$222=C$4)*'19_Cohort_Retention'!$D$4:$D$222))</f>
        <v>100</v>
      </c>
      <c r="D19" s="17">
        <f>IF(SUMPRODUCT(('19_Cohort_Retention'!$A$4:$A$222=$A19)*('19_Cohort_Retention'!$B$4:$B$222=D$4))=0,"",SUMPRODUCT(('19_Cohort_Retention'!$A$4:$A$222=$A19)*('19_Cohort_Retention'!$B$4:$B$222=D$4)*'19_Cohort_Retention'!$D$4:$D$222))</f>
        <v>0.4</v>
      </c>
      <c r="E19" s="17">
        <f>IF(SUMPRODUCT(('19_Cohort_Retention'!$A$4:$A$222=$A19)*('19_Cohort_Retention'!$B$4:$B$222=E$4))=0,"",SUMPRODUCT(('19_Cohort_Retention'!$A$4:$A$222=$A19)*('19_Cohort_Retention'!$B$4:$B$222=E$4)*'19_Cohort_Retention'!$D$4:$D$222))</f>
        <v>0.3</v>
      </c>
      <c r="F19" s="17">
        <f>IF(SUMPRODUCT(('19_Cohort_Retention'!$A$4:$A$222=$A19)*('19_Cohort_Retention'!$B$4:$B$222=F$4))=0,"",SUMPRODUCT(('19_Cohort_Retention'!$A$4:$A$222=$A19)*('19_Cohort_Retention'!$B$4:$B$222=F$4)*'19_Cohort_Retention'!$D$4:$D$222))</f>
        <v>0.3</v>
      </c>
      <c r="G19" s="17">
        <f>IF(SUMPRODUCT(('19_Cohort_Retention'!$A$4:$A$222=$A19)*('19_Cohort_Retention'!$B$4:$B$222=G$4))=0,"",SUMPRODUCT(('19_Cohort_Retention'!$A$4:$A$222=$A19)*('19_Cohort_Retention'!$B$4:$B$222=G$4)*'19_Cohort_Retention'!$D$4:$D$222))</f>
        <v>0.12</v>
      </c>
      <c r="H19" s="17">
        <f>IF(SUMPRODUCT(('19_Cohort_Retention'!$A$4:$A$222=$A19)*('19_Cohort_Retention'!$B$4:$B$222=H$4))=0,"",SUMPRODUCT(('19_Cohort_Retention'!$A$4:$A$222=$A19)*('19_Cohort_Retention'!$B$4:$B$222=H$4)*'19_Cohort_Retention'!$D$4:$D$222))</f>
        <v>0.12</v>
      </c>
      <c r="I19" s="17" t="str">
        <f>IF(SUMPRODUCT(('19_Cohort_Retention'!$A$4:$A$222=$A19)*('19_Cohort_Retention'!$B$4:$B$222=I$4))=0,"",SUMPRODUCT(('19_Cohort_Retention'!$A$4:$A$222=$A19)*('19_Cohort_Retention'!$B$4:$B$222=I$4)*'19_Cohort_Retention'!$D$4:$D$222))</f>
        <v/>
      </c>
      <c r="J19" s="17" t="str">
        <f>IF(SUMPRODUCT(('19_Cohort_Retention'!$A$4:$A$222=$A19)*('19_Cohort_Retention'!$B$4:$B$222=J$4))=0,"",SUMPRODUCT(('19_Cohort_Retention'!$A$4:$A$222=$A19)*('19_Cohort_Retention'!$B$4:$B$222=J$4)*'19_Cohort_Retention'!$D$4:$D$222))</f>
        <v/>
      </c>
      <c r="K19" s="17" t="str">
        <f>IF(SUMPRODUCT(('19_Cohort_Retention'!$A$4:$A$222=$A19)*('19_Cohort_Retention'!$B$4:$B$222=K$4))=0,"",SUMPRODUCT(('19_Cohort_Retention'!$A$4:$A$222=$A19)*('19_Cohort_Retention'!$B$4:$B$222=K$4)*'19_Cohort_Retention'!$D$4:$D$222))</f>
        <v/>
      </c>
      <c r="L19" s="17" t="str">
        <f>IF(SUMPRODUCT(('19_Cohort_Retention'!$A$4:$A$222=$A19)*('19_Cohort_Retention'!$B$4:$B$222=L$4))=0,"",SUMPRODUCT(('19_Cohort_Retention'!$A$4:$A$222=$A19)*('19_Cohort_Retention'!$B$4:$B$222=L$4)*'19_Cohort_Retention'!$D$4:$D$222))</f>
        <v/>
      </c>
      <c r="M19" s="17" t="str">
        <f>IF(SUMPRODUCT(('19_Cohort_Retention'!$A$4:$A$222=$A19)*('19_Cohort_Retention'!$B$4:$B$222=M$4))=0,"",SUMPRODUCT(('19_Cohort_Retention'!$A$4:$A$222=$A19)*('19_Cohort_Retention'!$B$4:$B$222=M$4)*'19_Cohort_Retention'!$D$4:$D$222))</f>
        <v/>
      </c>
      <c r="N19" s="17" t="str">
        <f>IF(SUMPRODUCT(('19_Cohort_Retention'!$A$4:$A$222=$A19)*('19_Cohort_Retention'!$B$4:$B$222=N$4))=0,"",SUMPRODUCT(('19_Cohort_Retention'!$A$4:$A$222=$A19)*('19_Cohort_Retention'!$B$4:$B$222=N$4)*'19_Cohort_Retention'!$D$4:$D$222))</f>
        <v/>
      </c>
      <c r="O19" s="17" t="str">
        <f>IF(SUMPRODUCT(('19_Cohort_Retention'!$A$4:$A$222=$A19)*('19_Cohort_Retention'!$B$4:$B$222=O$4))=0,"",SUMPRODUCT(('19_Cohort_Retention'!$A$4:$A$222=$A19)*('19_Cohort_Retention'!$B$4:$B$222=O$4)*'19_Cohort_Retention'!$D$4:$D$222))</f>
        <v/>
      </c>
    </row>
    <row r="20" spans="1:15">
      <c r="A20" s="12" t="s">
        <v>36</v>
      </c>
      <c r="B20" s="16">
        <f>SUMPRODUCT(('19_Cohort_Retention'!$A$4:$A$222=$A20)*('19_Cohort_Retention'!$B$4:$B$222=0)*'19_Cohort_Retention'!$C$4:$C$222)</f>
        <v>6582</v>
      </c>
      <c r="C20" s="17">
        <f>IF(SUMPRODUCT(('19_Cohort_Retention'!$A$4:$A$222=$A20)*('19_Cohort_Retention'!$B$4:$B$222=C$4))=0,"",SUMPRODUCT(('19_Cohort_Retention'!$A$4:$A$222=$A20)*('19_Cohort_Retention'!$B$4:$B$222=C$4)*'19_Cohort_Retention'!$D$4:$D$222))</f>
        <v>100</v>
      </c>
      <c r="D20" s="17">
        <f>IF(SUMPRODUCT(('19_Cohort_Retention'!$A$4:$A$222=$A20)*('19_Cohort_Retention'!$B$4:$B$222=D$4))=0,"",SUMPRODUCT(('19_Cohort_Retention'!$A$4:$A$222=$A20)*('19_Cohort_Retention'!$B$4:$B$222=D$4)*'19_Cohort_Retention'!$D$4:$D$222))</f>
        <v>0.59</v>
      </c>
      <c r="E20" s="17">
        <f>IF(SUMPRODUCT(('19_Cohort_Retention'!$A$4:$A$222=$A20)*('19_Cohort_Retention'!$B$4:$B$222=E$4))=0,"",SUMPRODUCT(('19_Cohort_Retention'!$A$4:$A$222=$A20)*('19_Cohort_Retention'!$B$4:$B$222=E$4)*'19_Cohort_Retention'!$D$4:$D$222))</f>
        <v>0.3</v>
      </c>
      <c r="F20" s="17">
        <f>IF(SUMPRODUCT(('19_Cohort_Retention'!$A$4:$A$222=$A20)*('19_Cohort_Retention'!$B$4:$B$222=F$4))=0,"",SUMPRODUCT(('19_Cohort_Retention'!$A$4:$A$222=$A20)*('19_Cohort_Retention'!$B$4:$B$222=F$4)*'19_Cohort_Retention'!$D$4:$D$222))</f>
        <v>0.24</v>
      </c>
      <c r="G20" s="17">
        <f>IF(SUMPRODUCT(('19_Cohort_Retention'!$A$4:$A$222=$A20)*('19_Cohort_Retention'!$B$4:$B$222=G$4))=0,"",SUMPRODUCT(('19_Cohort_Retention'!$A$4:$A$222=$A20)*('19_Cohort_Retention'!$B$4:$B$222=G$4)*'19_Cohort_Retention'!$D$4:$D$222))</f>
        <v>0.14</v>
      </c>
      <c r="H20" s="17" t="str">
        <f>IF(SUMPRODUCT(('19_Cohort_Retention'!$A$4:$A$222=$A20)*('19_Cohort_Retention'!$B$4:$B$222=H$4))=0,"",SUMPRODUCT(('19_Cohort_Retention'!$A$4:$A$222=$A20)*('19_Cohort_Retention'!$B$4:$B$222=H$4)*'19_Cohort_Retention'!$D$4:$D$222))</f>
        <v/>
      </c>
      <c r="I20" s="17" t="str">
        <f>IF(SUMPRODUCT(('19_Cohort_Retention'!$A$4:$A$222=$A20)*('19_Cohort_Retention'!$B$4:$B$222=I$4))=0,"",SUMPRODUCT(('19_Cohort_Retention'!$A$4:$A$222=$A20)*('19_Cohort_Retention'!$B$4:$B$222=I$4)*'19_Cohort_Retention'!$D$4:$D$222))</f>
        <v/>
      </c>
      <c r="J20" s="17" t="str">
        <f>IF(SUMPRODUCT(('19_Cohort_Retention'!$A$4:$A$222=$A20)*('19_Cohort_Retention'!$B$4:$B$222=J$4))=0,"",SUMPRODUCT(('19_Cohort_Retention'!$A$4:$A$222=$A20)*('19_Cohort_Retention'!$B$4:$B$222=J$4)*'19_Cohort_Retention'!$D$4:$D$222))</f>
        <v/>
      </c>
      <c r="K20" s="17" t="str">
        <f>IF(SUMPRODUCT(('19_Cohort_Retention'!$A$4:$A$222=$A20)*('19_Cohort_Retention'!$B$4:$B$222=K$4))=0,"",SUMPRODUCT(('19_Cohort_Retention'!$A$4:$A$222=$A20)*('19_Cohort_Retention'!$B$4:$B$222=K$4)*'19_Cohort_Retention'!$D$4:$D$222))</f>
        <v/>
      </c>
      <c r="L20" s="17" t="str">
        <f>IF(SUMPRODUCT(('19_Cohort_Retention'!$A$4:$A$222=$A20)*('19_Cohort_Retention'!$B$4:$B$222=L$4))=0,"",SUMPRODUCT(('19_Cohort_Retention'!$A$4:$A$222=$A20)*('19_Cohort_Retention'!$B$4:$B$222=L$4)*'19_Cohort_Retention'!$D$4:$D$222))</f>
        <v/>
      </c>
      <c r="M20" s="17" t="str">
        <f>IF(SUMPRODUCT(('19_Cohort_Retention'!$A$4:$A$222=$A20)*('19_Cohort_Retention'!$B$4:$B$222=M$4))=0,"",SUMPRODUCT(('19_Cohort_Retention'!$A$4:$A$222=$A20)*('19_Cohort_Retention'!$B$4:$B$222=M$4)*'19_Cohort_Retention'!$D$4:$D$222))</f>
        <v/>
      </c>
      <c r="N20" s="17" t="str">
        <f>IF(SUMPRODUCT(('19_Cohort_Retention'!$A$4:$A$222=$A20)*('19_Cohort_Retention'!$B$4:$B$222=N$4))=0,"",SUMPRODUCT(('19_Cohort_Retention'!$A$4:$A$222=$A20)*('19_Cohort_Retention'!$B$4:$B$222=N$4)*'19_Cohort_Retention'!$D$4:$D$222))</f>
        <v/>
      </c>
      <c r="O20" s="17" t="str">
        <f>IF(SUMPRODUCT(('19_Cohort_Retention'!$A$4:$A$222=$A20)*('19_Cohort_Retention'!$B$4:$B$222=O$4))=0,"",SUMPRODUCT(('19_Cohort_Retention'!$A$4:$A$222=$A20)*('19_Cohort_Retention'!$B$4:$B$222=O$4)*'19_Cohort_Retention'!$D$4:$D$222))</f>
        <v/>
      </c>
    </row>
    <row r="21" spans="1:15">
      <c r="A21" s="12" t="s">
        <v>37</v>
      </c>
      <c r="B21" s="16">
        <f>SUMPRODUCT(('19_Cohort_Retention'!$A$4:$A$222=$A21)*('19_Cohort_Retention'!$B$4:$B$222=0)*'19_Cohort_Retention'!$C$4:$C$222)</f>
        <v>6506</v>
      </c>
      <c r="C21" s="17">
        <f>IF(SUMPRODUCT(('19_Cohort_Retention'!$A$4:$A$222=$A21)*('19_Cohort_Retention'!$B$4:$B$222=C$4))=0,"",SUMPRODUCT(('19_Cohort_Retention'!$A$4:$A$222=$A21)*('19_Cohort_Retention'!$B$4:$B$222=C$4)*'19_Cohort_Retention'!$D$4:$D$222))</f>
        <v>100</v>
      </c>
      <c r="D21" s="17">
        <f>IF(SUMPRODUCT(('19_Cohort_Retention'!$A$4:$A$222=$A21)*('19_Cohort_Retention'!$B$4:$B$222=D$4))=0,"",SUMPRODUCT(('19_Cohort_Retention'!$A$4:$A$222=$A21)*('19_Cohort_Retention'!$B$4:$B$222=D$4)*'19_Cohort_Retention'!$D$4:$D$222))</f>
        <v>0.52</v>
      </c>
      <c r="E21" s="17">
        <f>IF(SUMPRODUCT(('19_Cohort_Retention'!$A$4:$A$222=$A21)*('19_Cohort_Retention'!$B$4:$B$222=E$4))=0,"",SUMPRODUCT(('19_Cohort_Retention'!$A$4:$A$222=$A21)*('19_Cohort_Retention'!$B$4:$B$222=E$4)*'19_Cohort_Retention'!$D$4:$D$222))</f>
        <v>0.26</v>
      </c>
      <c r="F21" s="17">
        <f>IF(SUMPRODUCT(('19_Cohort_Retention'!$A$4:$A$222=$A21)*('19_Cohort_Retention'!$B$4:$B$222=F$4))=0,"",SUMPRODUCT(('19_Cohort_Retention'!$A$4:$A$222=$A21)*('19_Cohort_Retention'!$B$4:$B$222=F$4)*'19_Cohort_Retention'!$D$4:$D$222))</f>
        <v>0.18</v>
      </c>
      <c r="G21" s="17" t="str">
        <f>IF(SUMPRODUCT(('19_Cohort_Retention'!$A$4:$A$222=$A21)*('19_Cohort_Retention'!$B$4:$B$222=G$4))=0,"",SUMPRODUCT(('19_Cohort_Retention'!$A$4:$A$222=$A21)*('19_Cohort_Retention'!$B$4:$B$222=G$4)*'19_Cohort_Retention'!$D$4:$D$222))</f>
        <v/>
      </c>
      <c r="H21" s="17" t="str">
        <f>IF(SUMPRODUCT(('19_Cohort_Retention'!$A$4:$A$222=$A21)*('19_Cohort_Retention'!$B$4:$B$222=H$4))=0,"",SUMPRODUCT(('19_Cohort_Retention'!$A$4:$A$222=$A21)*('19_Cohort_Retention'!$B$4:$B$222=H$4)*'19_Cohort_Retention'!$D$4:$D$222))</f>
        <v/>
      </c>
      <c r="I21" s="17" t="str">
        <f>IF(SUMPRODUCT(('19_Cohort_Retention'!$A$4:$A$222=$A21)*('19_Cohort_Retention'!$B$4:$B$222=I$4))=0,"",SUMPRODUCT(('19_Cohort_Retention'!$A$4:$A$222=$A21)*('19_Cohort_Retention'!$B$4:$B$222=I$4)*'19_Cohort_Retention'!$D$4:$D$222))</f>
        <v/>
      </c>
      <c r="J21" s="17" t="str">
        <f>IF(SUMPRODUCT(('19_Cohort_Retention'!$A$4:$A$222=$A21)*('19_Cohort_Retention'!$B$4:$B$222=J$4))=0,"",SUMPRODUCT(('19_Cohort_Retention'!$A$4:$A$222=$A21)*('19_Cohort_Retention'!$B$4:$B$222=J$4)*'19_Cohort_Retention'!$D$4:$D$222))</f>
        <v/>
      </c>
      <c r="K21" s="17" t="str">
        <f>IF(SUMPRODUCT(('19_Cohort_Retention'!$A$4:$A$222=$A21)*('19_Cohort_Retention'!$B$4:$B$222=K$4))=0,"",SUMPRODUCT(('19_Cohort_Retention'!$A$4:$A$222=$A21)*('19_Cohort_Retention'!$B$4:$B$222=K$4)*'19_Cohort_Retention'!$D$4:$D$222))</f>
        <v/>
      </c>
      <c r="L21" s="17" t="str">
        <f>IF(SUMPRODUCT(('19_Cohort_Retention'!$A$4:$A$222=$A21)*('19_Cohort_Retention'!$B$4:$B$222=L$4))=0,"",SUMPRODUCT(('19_Cohort_Retention'!$A$4:$A$222=$A21)*('19_Cohort_Retention'!$B$4:$B$222=L$4)*'19_Cohort_Retention'!$D$4:$D$222))</f>
        <v/>
      </c>
      <c r="M21" s="17" t="str">
        <f>IF(SUMPRODUCT(('19_Cohort_Retention'!$A$4:$A$222=$A21)*('19_Cohort_Retention'!$B$4:$B$222=M$4))=0,"",SUMPRODUCT(('19_Cohort_Retention'!$A$4:$A$222=$A21)*('19_Cohort_Retention'!$B$4:$B$222=M$4)*'19_Cohort_Retention'!$D$4:$D$222))</f>
        <v/>
      </c>
      <c r="N21" s="17" t="str">
        <f>IF(SUMPRODUCT(('19_Cohort_Retention'!$A$4:$A$222=$A21)*('19_Cohort_Retention'!$B$4:$B$222=N$4))=0,"",SUMPRODUCT(('19_Cohort_Retention'!$A$4:$A$222=$A21)*('19_Cohort_Retention'!$B$4:$B$222=N$4)*'19_Cohort_Retention'!$D$4:$D$222))</f>
        <v/>
      </c>
      <c r="O21" s="17" t="str">
        <f>IF(SUMPRODUCT(('19_Cohort_Retention'!$A$4:$A$222=$A21)*('19_Cohort_Retention'!$B$4:$B$222=O$4))=0,"",SUMPRODUCT(('19_Cohort_Retention'!$A$4:$A$222=$A21)*('19_Cohort_Retention'!$B$4:$B$222=O$4)*'19_Cohort_Retention'!$D$4:$D$222))</f>
        <v/>
      </c>
    </row>
    <row r="22" spans="1:15">
      <c r="A22" s="12" t="s">
        <v>38</v>
      </c>
      <c r="B22" s="16">
        <f>SUMPRODUCT(('19_Cohort_Retention'!$A$4:$A$222=$A22)*('19_Cohort_Retention'!$B$4:$B$222=0)*'19_Cohort_Retention'!$C$4:$C$222)</f>
        <v>5878</v>
      </c>
      <c r="C22" s="17">
        <f>IF(SUMPRODUCT(('19_Cohort_Retention'!$A$4:$A$222=$A22)*('19_Cohort_Retention'!$B$4:$B$222=C$4))=0,"",SUMPRODUCT(('19_Cohort_Retention'!$A$4:$A$222=$A22)*('19_Cohort_Retention'!$B$4:$B$222=C$4)*'19_Cohort_Retention'!$D$4:$D$222))</f>
        <v>100</v>
      </c>
      <c r="D22" s="17">
        <f>IF(SUMPRODUCT(('19_Cohort_Retention'!$A$4:$A$222=$A22)*('19_Cohort_Retention'!$B$4:$B$222=D$4))=0,"",SUMPRODUCT(('19_Cohort_Retention'!$A$4:$A$222=$A22)*('19_Cohort_Retention'!$B$4:$B$222=D$4)*'19_Cohort_Retention'!$D$4:$D$222))</f>
        <v>0.43</v>
      </c>
      <c r="E22" s="17">
        <f>IF(SUMPRODUCT(('19_Cohort_Retention'!$A$4:$A$222=$A22)*('19_Cohort_Retention'!$B$4:$B$222=E$4))=0,"",SUMPRODUCT(('19_Cohort_Retention'!$A$4:$A$222=$A22)*('19_Cohort_Retention'!$B$4:$B$222=E$4)*'19_Cohort_Retention'!$D$4:$D$222))</f>
        <v>0.27</v>
      </c>
      <c r="F22" s="17" t="str">
        <f>IF(SUMPRODUCT(('19_Cohort_Retention'!$A$4:$A$222=$A22)*('19_Cohort_Retention'!$B$4:$B$222=F$4))=0,"",SUMPRODUCT(('19_Cohort_Retention'!$A$4:$A$222=$A22)*('19_Cohort_Retention'!$B$4:$B$222=F$4)*'19_Cohort_Retention'!$D$4:$D$222))</f>
        <v/>
      </c>
      <c r="G22" s="17" t="str">
        <f>IF(SUMPRODUCT(('19_Cohort_Retention'!$A$4:$A$222=$A22)*('19_Cohort_Retention'!$B$4:$B$222=G$4))=0,"",SUMPRODUCT(('19_Cohort_Retention'!$A$4:$A$222=$A22)*('19_Cohort_Retention'!$B$4:$B$222=G$4)*'19_Cohort_Retention'!$D$4:$D$222))</f>
        <v/>
      </c>
      <c r="H22" s="17" t="str">
        <f>IF(SUMPRODUCT(('19_Cohort_Retention'!$A$4:$A$222=$A22)*('19_Cohort_Retention'!$B$4:$B$222=H$4))=0,"",SUMPRODUCT(('19_Cohort_Retention'!$A$4:$A$222=$A22)*('19_Cohort_Retention'!$B$4:$B$222=H$4)*'19_Cohort_Retention'!$D$4:$D$222))</f>
        <v/>
      </c>
      <c r="I22" s="17" t="str">
        <f>IF(SUMPRODUCT(('19_Cohort_Retention'!$A$4:$A$222=$A22)*('19_Cohort_Retention'!$B$4:$B$222=I$4))=0,"",SUMPRODUCT(('19_Cohort_Retention'!$A$4:$A$222=$A22)*('19_Cohort_Retention'!$B$4:$B$222=I$4)*'19_Cohort_Retention'!$D$4:$D$222))</f>
        <v/>
      </c>
      <c r="J22" s="17" t="str">
        <f>IF(SUMPRODUCT(('19_Cohort_Retention'!$A$4:$A$222=$A22)*('19_Cohort_Retention'!$B$4:$B$222=J$4))=0,"",SUMPRODUCT(('19_Cohort_Retention'!$A$4:$A$222=$A22)*('19_Cohort_Retention'!$B$4:$B$222=J$4)*'19_Cohort_Retention'!$D$4:$D$222))</f>
        <v/>
      </c>
      <c r="K22" s="17" t="str">
        <f>IF(SUMPRODUCT(('19_Cohort_Retention'!$A$4:$A$222=$A22)*('19_Cohort_Retention'!$B$4:$B$222=K$4))=0,"",SUMPRODUCT(('19_Cohort_Retention'!$A$4:$A$222=$A22)*('19_Cohort_Retention'!$B$4:$B$222=K$4)*'19_Cohort_Retention'!$D$4:$D$222))</f>
        <v/>
      </c>
      <c r="L22" s="17" t="str">
        <f>IF(SUMPRODUCT(('19_Cohort_Retention'!$A$4:$A$222=$A22)*('19_Cohort_Retention'!$B$4:$B$222=L$4))=0,"",SUMPRODUCT(('19_Cohort_Retention'!$A$4:$A$222=$A22)*('19_Cohort_Retention'!$B$4:$B$222=L$4)*'19_Cohort_Retention'!$D$4:$D$222))</f>
        <v/>
      </c>
      <c r="M22" s="17" t="str">
        <f>IF(SUMPRODUCT(('19_Cohort_Retention'!$A$4:$A$222=$A22)*('19_Cohort_Retention'!$B$4:$B$222=M$4))=0,"",SUMPRODUCT(('19_Cohort_Retention'!$A$4:$A$222=$A22)*('19_Cohort_Retention'!$B$4:$B$222=M$4)*'19_Cohort_Retention'!$D$4:$D$222))</f>
        <v/>
      </c>
      <c r="N22" s="17" t="str">
        <f>IF(SUMPRODUCT(('19_Cohort_Retention'!$A$4:$A$222=$A22)*('19_Cohort_Retention'!$B$4:$B$222=N$4))=0,"",SUMPRODUCT(('19_Cohort_Retention'!$A$4:$A$222=$A22)*('19_Cohort_Retention'!$B$4:$B$222=N$4)*'19_Cohort_Retention'!$D$4:$D$222))</f>
        <v/>
      </c>
      <c r="O22" s="17" t="str">
        <f>IF(SUMPRODUCT(('19_Cohort_Retention'!$A$4:$A$222=$A22)*('19_Cohort_Retention'!$B$4:$B$222=O$4))=0,"",SUMPRODUCT(('19_Cohort_Retention'!$A$4:$A$222=$A22)*('19_Cohort_Retention'!$B$4:$B$222=O$4)*'19_Cohort_Retention'!$D$4:$D$222))</f>
        <v/>
      </c>
    </row>
    <row r="23" spans="1:15">
      <c r="A23" s="12" t="s">
        <v>39</v>
      </c>
      <c r="B23" s="16">
        <f>SUMPRODUCT(('19_Cohort_Retention'!$A$4:$A$222=$A23)*('19_Cohort_Retention'!$B$4:$B$222=0)*'19_Cohort_Retention'!$C$4:$C$222)</f>
        <v>5949</v>
      </c>
      <c r="C23" s="17">
        <f>IF(SUMPRODUCT(('19_Cohort_Retention'!$A$4:$A$222=$A23)*('19_Cohort_Retention'!$B$4:$B$222=C$4))=0,"",SUMPRODUCT(('19_Cohort_Retention'!$A$4:$A$222=$A23)*('19_Cohort_Retention'!$B$4:$B$222=C$4)*'19_Cohort_Retention'!$D$4:$D$222))</f>
        <v>100</v>
      </c>
      <c r="D23" s="17">
        <f>IF(SUMPRODUCT(('19_Cohort_Retention'!$A$4:$A$222=$A23)*('19_Cohort_Retention'!$B$4:$B$222=D$4))=0,"",SUMPRODUCT(('19_Cohort_Retention'!$A$4:$A$222=$A23)*('19_Cohort_Retention'!$B$4:$B$222=D$4)*'19_Cohort_Retention'!$D$4:$D$222))</f>
        <v>0.52</v>
      </c>
      <c r="E23" s="17" t="str">
        <f>IF(SUMPRODUCT(('19_Cohort_Retention'!$A$4:$A$222=$A23)*('19_Cohort_Retention'!$B$4:$B$222=E$4))=0,"",SUMPRODUCT(('19_Cohort_Retention'!$A$4:$A$222=$A23)*('19_Cohort_Retention'!$B$4:$B$222=E$4)*'19_Cohort_Retention'!$D$4:$D$222))</f>
        <v/>
      </c>
      <c r="F23" s="17" t="str">
        <f>IF(SUMPRODUCT(('19_Cohort_Retention'!$A$4:$A$222=$A23)*('19_Cohort_Retention'!$B$4:$B$222=F$4))=0,"",SUMPRODUCT(('19_Cohort_Retention'!$A$4:$A$222=$A23)*('19_Cohort_Retention'!$B$4:$B$222=F$4)*'19_Cohort_Retention'!$D$4:$D$222))</f>
        <v/>
      </c>
      <c r="G23" s="17" t="str">
        <f>IF(SUMPRODUCT(('19_Cohort_Retention'!$A$4:$A$222=$A23)*('19_Cohort_Retention'!$B$4:$B$222=G$4))=0,"",SUMPRODUCT(('19_Cohort_Retention'!$A$4:$A$222=$A23)*('19_Cohort_Retention'!$B$4:$B$222=G$4)*'19_Cohort_Retention'!$D$4:$D$222))</f>
        <v/>
      </c>
      <c r="H23" s="17" t="str">
        <f>IF(SUMPRODUCT(('19_Cohort_Retention'!$A$4:$A$222=$A23)*('19_Cohort_Retention'!$B$4:$B$222=H$4))=0,"",SUMPRODUCT(('19_Cohort_Retention'!$A$4:$A$222=$A23)*('19_Cohort_Retention'!$B$4:$B$222=H$4)*'19_Cohort_Retention'!$D$4:$D$222))</f>
        <v/>
      </c>
      <c r="I23" s="17" t="str">
        <f>IF(SUMPRODUCT(('19_Cohort_Retention'!$A$4:$A$222=$A23)*('19_Cohort_Retention'!$B$4:$B$222=I$4))=0,"",SUMPRODUCT(('19_Cohort_Retention'!$A$4:$A$222=$A23)*('19_Cohort_Retention'!$B$4:$B$222=I$4)*'19_Cohort_Retention'!$D$4:$D$222))</f>
        <v/>
      </c>
      <c r="J23" s="17" t="str">
        <f>IF(SUMPRODUCT(('19_Cohort_Retention'!$A$4:$A$222=$A23)*('19_Cohort_Retention'!$B$4:$B$222=J$4))=0,"",SUMPRODUCT(('19_Cohort_Retention'!$A$4:$A$222=$A23)*('19_Cohort_Retention'!$B$4:$B$222=J$4)*'19_Cohort_Retention'!$D$4:$D$222))</f>
        <v/>
      </c>
      <c r="K23" s="17" t="str">
        <f>IF(SUMPRODUCT(('19_Cohort_Retention'!$A$4:$A$222=$A23)*('19_Cohort_Retention'!$B$4:$B$222=K$4))=0,"",SUMPRODUCT(('19_Cohort_Retention'!$A$4:$A$222=$A23)*('19_Cohort_Retention'!$B$4:$B$222=K$4)*'19_Cohort_Retention'!$D$4:$D$222))</f>
        <v/>
      </c>
      <c r="L23" s="17" t="str">
        <f>IF(SUMPRODUCT(('19_Cohort_Retention'!$A$4:$A$222=$A23)*('19_Cohort_Retention'!$B$4:$B$222=L$4))=0,"",SUMPRODUCT(('19_Cohort_Retention'!$A$4:$A$222=$A23)*('19_Cohort_Retention'!$B$4:$B$222=L$4)*'19_Cohort_Retention'!$D$4:$D$222))</f>
        <v/>
      </c>
      <c r="M23" s="17" t="str">
        <f>IF(SUMPRODUCT(('19_Cohort_Retention'!$A$4:$A$222=$A23)*('19_Cohort_Retention'!$B$4:$B$222=M$4))=0,"",SUMPRODUCT(('19_Cohort_Retention'!$A$4:$A$222=$A23)*('19_Cohort_Retention'!$B$4:$B$222=M$4)*'19_Cohort_Retention'!$D$4:$D$222))</f>
        <v/>
      </c>
      <c r="N23" s="17" t="str">
        <f>IF(SUMPRODUCT(('19_Cohort_Retention'!$A$4:$A$222=$A23)*('19_Cohort_Retention'!$B$4:$B$222=N$4))=0,"",SUMPRODUCT(('19_Cohort_Retention'!$A$4:$A$222=$A23)*('19_Cohort_Retention'!$B$4:$B$222=N$4)*'19_Cohort_Retention'!$D$4:$D$222))</f>
        <v/>
      </c>
      <c r="O23" s="17" t="str">
        <f>IF(SUMPRODUCT(('19_Cohort_Retention'!$A$4:$A$222=$A23)*('19_Cohort_Retention'!$B$4:$B$222=O$4))=0,"",SUMPRODUCT(('19_Cohort_Retention'!$A$4:$A$222=$A23)*('19_Cohort_Retention'!$B$4:$B$222=O$4)*'19_Cohort_Retention'!$D$4:$D$222))</f>
        <v/>
      </c>
    </row>
    <row r="24" spans="1:15">
      <c r="A24" s="12" t="s">
        <v>40</v>
      </c>
      <c r="B24" s="16">
        <f>SUMPRODUCT(('19_Cohort_Retention'!$A$4:$A$222=$A24)*('19_Cohort_Retention'!$B$4:$B$222=0)*'19_Cohort_Retention'!$C$4:$C$222)</f>
        <v>6144</v>
      </c>
      <c r="C24" s="17">
        <f>IF(SUMPRODUCT(('19_Cohort_Retention'!$A$4:$A$222=$A24)*('19_Cohort_Retention'!$B$4:$B$222=C$4))=0,"",SUMPRODUCT(('19_Cohort_Retention'!$A$4:$A$222=$A24)*('19_Cohort_Retention'!$B$4:$B$222=C$4)*'19_Cohort_Retention'!$D$4:$D$222))</f>
        <v>100</v>
      </c>
      <c r="D24" s="17" t="str">
        <f>IF(SUMPRODUCT(('19_Cohort_Retention'!$A$4:$A$222=$A24)*('19_Cohort_Retention'!$B$4:$B$222=D$4))=0,"",SUMPRODUCT(('19_Cohort_Retention'!$A$4:$A$222=$A24)*('19_Cohort_Retention'!$B$4:$B$222=D$4)*'19_Cohort_Retention'!$D$4:$D$222))</f>
        <v/>
      </c>
      <c r="E24" s="17" t="str">
        <f>IF(SUMPRODUCT(('19_Cohort_Retention'!$A$4:$A$222=$A24)*('19_Cohort_Retention'!$B$4:$B$222=E$4))=0,"",SUMPRODUCT(('19_Cohort_Retention'!$A$4:$A$222=$A24)*('19_Cohort_Retention'!$B$4:$B$222=E$4)*'19_Cohort_Retention'!$D$4:$D$222))</f>
        <v/>
      </c>
      <c r="F24" s="17" t="str">
        <f>IF(SUMPRODUCT(('19_Cohort_Retention'!$A$4:$A$222=$A24)*('19_Cohort_Retention'!$B$4:$B$222=F$4))=0,"",SUMPRODUCT(('19_Cohort_Retention'!$A$4:$A$222=$A24)*('19_Cohort_Retention'!$B$4:$B$222=F$4)*'19_Cohort_Retention'!$D$4:$D$222))</f>
        <v/>
      </c>
      <c r="G24" s="17" t="str">
        <f>IF(SUMPRODUCT(('19_Cohort_Retention'!$A$4:$A$222=$A24)*('19_Cohort_Retention'!$B$4:$B$222=G$4))=0,"",SUMPRODUCT(('19_Cohort_Retention'!$A$4:$A$222=$A24)*('19_Cohort_Retention'!$B$4:$B$222=G$4)*'19_Cohort_Retention'!$D$4:$D$222))</f>
        <v/>
      </c>
      <c r="H24" s="17" t="str">
        <f>IF(SUMPRODUCT(('19_Cohort_Retention'!$A$4:$A$222=$A24)*('19_Cohort_Retention'!$B$4:$B$222=H$4))=0,"",SUMPRODUCT(('19_Cohort_Retention'!$A$4:$A$222=$A24)*('19_Cohort_Retention'!$B$4:$B$222=H$4)*'19_Cohort_Retention'!$D$4:$D$222))</f>
        <v/>
      </c>
      <c r="I24" s="17" t="str">
        <f>IF(SUMPRODUCT(('19_Cohort_Retention'!$A$4:$A$222=$A24)*('19_Cohort_Retention'!$B$4:$B$222=I$4))=0,"",SUMPRODUCT(('19_Cohort_Retention'!$A$4:$A$222=$A24)*('19_Cohort_Retention'!$B$4:$B$222=I$4)*'19_Cohort_Retention'!$D$4:$D$222))</f>
        <v/>
      </c>
      <c r="J24" s="17" t="str">
        <f>IF(SUMPRODUCT(('19_Cohort_Retention'!$A$4:$A$222=$A24)*('19_Cohort_Retention'!$B$4:$B$222=J$4))=0,"",SUMPRODUCT(('19_Cohort_Retention'!$A$4:$A$222=$A24)*('19_Cohort_Retention'!$B$4:$B$222=J$4)*'19_Cohort_Retention'!$D$4:$D$222))</f>
        <v/>
      </c>
      <c r="K24" s="17" t="str">
        <f>IF(SUMPRODUCT(('19_Cohort_Retention'!$A$4:$A$222=$A24)*('19_Cohort_Retention'!$B$4:$B$222=K$4))=0,"",SUMPRODUCT(('19_Cohort_Retention'!$A$4:$A$222=$A24)*('19_Cohort_Retention'!$B$4:$B$222=K$4)*'19_Cohort_Retention'!$D$4:$D$222))</f>
        <v/>
      </c>
      <c r="L24" s="17" t="str">
        <f>IF(SUMPRODUCT(('19_Cohort_Retention'!$A$4:$A$222=$A24)*('19_Cohort_Retention'!$B$4:$B$222=L$4))=0,"",SUMPRODUCT(('19_Cohort_Retention'!$A$4:$A$222=$A24)*('19_Cohort_Retention'!$B$4:$B$222=L$4)*'19_Cohort_Retention'!$D$4:$D$222))</f>
        <v/>
      </c>
      <c r="M24" s="17" t="str">
        <f>IF(SUMPRODUCT(('19_Cohort_Retention'!$A$4:$A$222=$A24)*('19_Cohort_Retention'!$B$4:$B$222=M$4))=0,"",SUMPRODUCT(('19_Cohort_Retention'!$A$4:$A$222=$A24)*('19_Cohort_Retention'!$B$4:$B$222=M$4)*'19_Cohort_Retention'!$D$4:$D$222))</f>
        <v/>
      </c>
      <c r="N24" s="17" t="str">
        <f>IF(SUMPRODUCT(('19_Cohort_Retention'!$A$4:$A$222=$A24)*('19_Cohort_Retention'!$B$4:$B$222=N$4))=0,"",SUMPRODUCT(('19_Cohort_Retention'!$A$4:$A$222=$A24)*('19_Cohort_Retention'!$B$4:$B$222=N$4)*'19_Cohort_Retention'!$D$4:$D$222))</f>
        <v/>
      </c>
      <c r="O24" s="17" t="str">
        <f>IF(SUMPRODUCT(('19_Cohort_Retention'!$A$4:$A$222=$A24)*('19_Cohort_Retention'!$B$4:$B$222=O$4))=0,"",SUMPRODUCT(('19_Cohort_Retention'!$A$4:$A$222=$A24)*('19_Cohort_Retention'!$B$4:$B$222=O$4)*'19_Cohort_Retention'!$D$4:$D$222))</f>
        <v/>
      </c>
    </row>
    <row r="26" spans="1:15">
      <c r="A26" s="18" t="s">
        <v>41</v>
      </c>
    </row>
  </sheetData>
  <conditionalFormatting sqref="D5:O24">
    <cfRule type="colorScale" priority="1">
      <colorScale>
        <cfvo type="num" val="0"/>
        <cfvo type="num" val="0.4"/>
        <cfvo type="num" val="1"/>
        <color rgb="FFFFFFFF"/>
        <color rgb="FF9DC3E6"/>
        <color rgb="FF1F4E79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B12"/>
  <sheetViews>
    <sheetView showGridLines="0" workbookViewId="0">
      <selection activeCell="A1" sqref="A1"/>
    </sheetView>
  </sheetViews>
  <sheetFormatPr defaultColWidth="9" defaultRowHeight="15" outlineLevelCol="1"/>
  <cols>
    <col min="1" max="1" width="26" customWidth="1"/>
    <col min="2" max="2" width="110" customWidth="1"/>
  </cols>
  <sheetData>
    <row r="1" ht="18" spans="1:2">
      <c r="A1" s="11" t="s">
        <v>42</v>
      </c>
    </row>
    <row r="3" spans="1:2">
      <c r="A3" s="12" t="s">
        <v>43</v>
      </c>
      <c r="B3" s="13" t="s">
        <v>44</v>
      </c>
    </row>
    <row r="4" spans="1:2">
      <c r="A4" s="12" t="s">
        <v>45</v>
      </c>
      <c r="B4" s="13" t="s">
        <v>46</v>
      </c>
    </row>
    <row r="5" spans="1:2">
      <c r="A5" s="12" t="s">
        <v>47</v>
      </c>
      <c r="B5" s="13" t="s">
        <v>48</v>
      </c>
    </row>
    <row r="6" spans="1:2">
      <c r="A6" s="12" t="s">
        <v>49</v>
      </c>
      <c r="B6" s="13" t="s">
        <v>50</v>
      </c>
    </row>
    <row r="7" spans="1:2">
      <c r="A7" s="12" t="s">
        <v>51</v>
      </c>
      <c r="B7" s="13" t="s">
        <v>52</v>
      </c>
    </row>
    <row r="8" spans="1:2">
      <c r="A8" s="12" t="s">
        <v>53</v>
      </c>
      <c r="B8" s="13" t="s">
        <v>54</v>
      </c>
    </row>
    <row r="9" spans="1:2">
      <c r="A9" s="12" t="s">
        <v>55</v>
      </c>
      <c r="B9" s="13" t="s">
        <v>56</v>
      </c>
    </row>
    <row r="10" spans="1:2">
      <c r="A10" s="12" t="s">
        <v>57</v>
      </c>
      <c r="B10" s="13" t="s">
        <v>58</v>
      </c>
    </row>
    <row r="11" ht="28.5" spans="1:2">
      <c r="A11" s="12" t="s">
        <v>59</v>
      </c>
      <c r="B11" s="13" t="s">
        <v>60</v>
      </c>
    </row>
    <row r="12" ht="28.5" spans="1:2">
      <c r="A12" s="12" t="s">
        <v>61</v>
      </c>
      <c r="B12" s="13" t="s">
        <v>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I4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Row="3"/>
  <cols>
    <col min="1" max="2" width="19" customWidth="1"/>
    <col min="3" max="4" width="16" customWidth="1"/>
    <col min="5" max="5" width="18" customWidth="1"/>
    <col min="6" max="6" width="20" customWidth="1"/>
    <col min="7" max="7" width="21" customWidth="1"/>
    <col min="8" max="8" width="20" customWidth="1"/>
    <col min="9" max="9" width="19" customWidth="1"/>
  </cols>
  <sheetData>
    <row r="1" ht="16.5" spans="1:9">
      <c r="A1" s="1" t="s">
        <v>63</v>
      </c>
    </row>
    <row r="2" spans="1:9">
      <c r="A2" s="2" t="s">
        <v>64</v>
      </c>
    </row>
    <row r="3" ht="30" customHeight="1" spans="1:9">
      <c r="A3" s="3" t="s">
        <v>65</v>
      </c>
      <c r="B3" s="3" t="s">
        <v>66</v>
      </c>
      <c r="C3" s="3" t="s">
        <v>67</v>
      </c>
      <c r="D3" s="3" t="s">
        <v>68</v>
      </c>
      <c r="E3" s="3" t="s">
        <v>69</v>
      </c>
      <c r="F3" s="3" t="s">
        <v>70</v>
      </c>
      <c r="G3" s="3" t="s">
        <v>71</v>
      </c>
      <c r="H3" s="3" t="s">
        <v>72</v>
      </c>
      <c r="I3" s="3" t="s">
        <v>73</v>
      </c>
    </row>
    <row r="4" spans="1:9">
      <c r="A4" s="6">
        <v>96478</v>
      </c>
      <c r="B4" s="6">
        <v>93358</v>
      </c>
      <c r="C4" s="8">
        <v>13221498.11</v>
      </c>
      <c r="D4" s="8">
        <v>2198275.64</v>
      </c>
      <c r="E4" s="8">
        <v>137.04</v>
      </c>
      <c r="F4" s="7">
        <v>12.5</v>
      </c>
      <c r="G4" s="7">
        <v>24.4</v>
      </c>
      <c r="H4" s="7">
        <v>6.77</v>
      </c>
      <c r="I4" s="7">
        <v>4.16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C11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15" customWidth="1"/>
    <col min="2" max="2" width="12" customWidth="1"/>
    <col min="3" max="3" width="16" customWidth="1"/>
  </cols>
  <sheetData>
    <row r="1" ht="16.5" spans="1:3">
      <c r="A1" s="1" t="s">
        <v>74</v>
      </c>
    </row>
    <row r="2" spans="1:3">
      <c r="A2" s="2" t="s">
        <v>75</v>
      </c>
    </row>
    <row r="3" ht="30" customHeight="1" spans="1:3">
      <c r="A3" s="3" t="s">
        <v>76</v>
      </c>
      <c r="B3" s="3" t="s">
        <v>77</v>
      </c>
      <c r="C3" s="3" t="s">
        <v>78</v>
      </c>
    </row>
    <row r="4" spans="1:3">
      <c r="A4" s="5" t="s">
        <v>79</v>
      </c>
      <c r="B4" s="6">
        <v>96478</v>
      </c>
      <c r="C4" s="7">
        <v>97.02</v>
      </c>
    </row>
    <row r="5" spans="1:3">
      <c r="A5" s="5" t="s">
        <v>80</v>
      </c>
      <c r="B5" s="6">
        <v>1107</v>
      </c>
      <c r="C5" s="7">
        <v>1.11</v>
      </c>
    </row>
    <row r="6" spans="1:3">
      <c r="A6" s="5" t="s">
        <v>81</v>
      </c>
      <c r="B6" s="6">
        <v>625</v>
      </c>
      <c r="C6" s="7">
        <v>0.63</v>
      </c>
    </row>
    <row r="7" spans="1:3">
      <c r="A7" s="5" t="s">
        <v>82</v>
      </c>
      <c r="B7" s="6">
        <v>609</v>
      </c>
      <c r="C7" s="7">
        <v>0.61</v>
      </c>
    </row>
    <row r="8" spans="1:3">
      <c r="A8" s="5" t="s">
        <v>83</v>
      </c>
      <c r="B8" s="6">
        <v>314</v>
      </c>
      <c r="C8" s="7">
        <v>0.32</v>
      </c>
    </row>
    <row r="9" spans="1:3">
      <c r="A9" s="5" t="s">
        <v>84</v>
      </c>
      <c r="B9" s="6">
        <v>301</v>
      </c>
      <c r="C9" s="7">
        <v>0.3</v>
      </c>
    </row>
    <row r="10" spans="1:3">
      <c r="A10" s="5" t="s">
        <v>85</v>
      </c>
      <c r="B10" s="6">
        <v>5</v>
      </c>
      <c r="C10" s="7">
        <v>0.01</v>
      </c>
    </row>
    <row r="11" spans="1:3">
      <c r="A11" s="5" t="s">
        <v>86</v>
      </c>
      <c r="B11" s="6">
        <v>2</v>
      </c>
      <c r="C11" s="7"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F26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17" customWidth="1"/>
    <col min="2" max="3" width="12" customWidth="1"/>
    <col min="4" max="4" width="18" customWidth="1"/>
    <col min="5" max="5" width="25" customWidth="1"/>
    <col min="6" max="6" width="21" customWidth="1"/>
  </cols>
  <sheetData>
    <row r="1" ht="16.5" spans="1:6">
      <c r="A1" s="1" t="s">
        <v>87</v>
      </c>
    </row>
    <row r="2" spans="1:6">
      <c r="A2" s="2" t="s">
        <v>88</v>
      </c>
    </row>
    <row r="3" ht="30" customHeight="1" spans="1:6">
      <c r="A3" s="3" t="s">
        <v>89</v>
      </c>
      <c r="B3" s="3" t="s">
        <v>77</v>
      </c>
      <c r="C3" s="3" t="s">
        <v>90</v>
      </c>
      <c r="D3" s="3" t="s">
        <v>69</v>
      </c>
      <c r="E3" s="3" t="s">
        <v>91</v>
      </c>
      <c r="F3" s="3" t="s">
        <v>92</v>
      </c>
    </row>
    <row r="4" spans="1:6">
      <c r="A4" s="5" t="s">
        <v>93</v>
      </c>
      <c r="B4" s="6">
        <v>1</v>
      </c>
      <c r="C4" s="8">
        <v>134.97</v>
      </c>
      <c r="D4" s="8">
        <v>134.97</v>
      </c>
      <c r="E4" s="5"/>
      <c r="F4" s="8">
        <v>134.97</v>
      </c>
    </row>
    <row r="5" spans="1:6">
      <c r="A5" s="5" t="s">
        <v>94</v>
      </c>
      <c r="B5" s="6">
        <v>265</v>
      </c>
      <c r="C5" s="8">
        <v>40325.11</v>
      </c>
      <c r="D5" s="8">
        <v>152.17</v>
      </c>
      <c r="E5" s="7">
        <v>29777.09</v>
      </c>
      <c r="F5" s="8">
        <v>40460.08</v>
      </c>
    </row>
    <row r="6" spans="1:6">
      <c r="A6" s="5" t="s">
        <v>95</v>
      </c>
      <c r="B6" s="6">
        <v>1</v>
      </c>
      <c r="C6" s="8">
        <v>10.9</v>
      </c>
      <c r="D6" s="8">
        <v>10.9</v>
      </c>
      <c r="E6" s="7">
        <v>-99.97</v>
      </c>
      <c r="F6" s="8">
        <v>40470.98</v>
      </c>
    </row>
    <row r="7" spans="1:6">
      <c r="A7" s="5" t="s">
        <v>21</v>
      </c>
      <c r="B7" s="6">
        <v>750</v>
      </c>
      <c r="C7" s="8">
        <v>111798.36</v>
      </c>
      <c r="D7" s="8">
        <v>149.06</v>
      </c>
      <c r="E7" s="7">
        <v>1025573.03</v>
      </c>
      <c r="F7" s="8">
        <v>152269.34</v>
      </c>
    </row>
    <row r="8" spans="1:6">
      <c r="A8" s="5" t="s">
        <v>22</v>
      </c>
      <c r="B8" s="6">
        <v>1653</v>
      </c>
      <c r="C8" s="8">
        <v>234223.4</v>
      </c>
      <c r="D8" s="8">
        <v>141.7</v>
      </c>
      <c r="E8" s="7">
        <v>109.51</v>
      </c>
      <c r="F8" s="8">
        <v>386492.74</v>
      </c>
    </row>
    <row r="9" spans="1:6">
      <c r="A9" s="5" t="s">
        <v>23</v>
      </c>
      <c r="B9" s="6">
        <v>2546</v>
      </c>
      <c r="C9" s="8">
        <v>359198.85</v>
      </c>
      <c r="D9" s="8">
        <v>141.08</v>
      </c>
      <c r="E9" s="7">
        <v>53.36</v>
      </c>
      <c r="F9" s="8">
        <v>745691.59</v>
      </c>
    </row>
    <row r="10" spans="1:6">
      <c r="A10" s="5" t="s">
        <v>24</v>
      </c>
      <c r="B10" s="6">
        <v>2303</v>
      </c>
      <c r="C10" s="8">
        <v>340669.68</v>
      </c>
      <c r="D10" s="8">
        <v>147.92</v>
      </c>
      <c r="E10" s="7">
        <v>-5.16</v>
      </c>
      <c r="F10" s="8">
        <v>1086361.27</v>
      </c>
    </row>
    <row r="11" spans="1:6">
      <c r="A11" s="5" t="s">
        <v>25</v>
      </c>
      <c r="B11" s="6">
        <v>3546</v>
      </c>
      <c r="C11" s="8">
        <v>489338.25</v>
      </c>
      <c r="D11" s="8">
        <v>138</v>
      </c>
      <c r="E11" s="7">
        <v>43.64</v>
      </c>
      <c r="F11" s="8">
        <v>1575699.52</v>
      </c>
    </row>
    <row r="12" spans="1:6">
      <c r="A12" s="5" t="s">
        <v>26</v>
      </c>
      <c r="B12" s="6">
        <v>3135</v>
      </c>
      <c r="C12" s="8">
        <v>421923.37</v>
      </c>
      <c r="D12" s="8">
        <v>134.58</v>
      </c>
      <c r="E12" s="7">
        <v>-13.78</v>
      </c>
      <c r="F12" s="8">
        <v>1997622.89</v>
      </c>
    </row>
    <row r="13" spans="1:6">
      <c r="A13" s="5" t="s">
        <v>27</v>
      </c>
      <c r="B13" s="6">
        <v>3872</v>
      </c>
      <c r="C13" s="8">
        <v>481604.52</v>
      </c>
      <c r="D13" s="8">
        <v>124.38</v>
      </c>
      <c r="E13" s="7">
        <v>14.15</v>
      </c>
      <c r="F13" s="8">
        <v>2479227.41</v>
      </c>
    </row>
    <row r="14" spans="1:6">
      <c r="A14" s="5" t="s">
        <v>28</v>
      </c>
      <c r="B14" s="6">
        <v>4193</v>
      </c>
      <c r="C14" s="8">
        <v>554699.7</v>
      </c>
      <c r="D14" s="8">
        <v>132.29</v>
      </c>
      <c r="E14" s="7">
        <v>15.18</v>
      </c>
      <c r="F14" s="8">
        <v>3033927.11</v>
      </c>
    </row>
    <row r="15" spans="1:6">
      <c r="A15" s="5" t="s">
        <v>29</v>
      </c>
      <c r="B15" s="6">
        <v>4150</v>
      </c>
      <c r="C15" s="8">
        <v>607399.67</v>
      </c>
      <c r="D15" s="8">
        <v>146.36</v>
      </c>
      <c r="E15" s="7">
        <v>9.5</v>
      </c>
      <c r="F15" s="8">
        <v>3641326.78</v>
      </c>
    </row>
    <row r="16" spans="1:6">
      <c r="A16" s="5" t="s">
        <v>30</v>
      </c>
      <c r="B16" s="6">
        <v>4478</v>
      </c>
      <c r="C16" s="8">
        <v>648247.65</v>
      </c>
      <c r="D16" s="8">
        <v>144.76</v>
      </c>
      <c r="E16" s="7">
        <v>6.73</v>
      </c>
      <c r="F16" s="8">
        <v>4289574.43</v>
      </c>
    </row>
    <row r="17" spans="1:6">
      <c r="A17" s="5" t="s">
        <v>31</v>
      </c>
      <c r="B17" s="6">
        <v>7289</v>
      </c>
      <c r="C17" s="8">
        <v>987765.37</v>
      </c>
      <c r="D17" s="8">
        <v>135.51</v>
      </c>
      <c r="E17" s="7">
        <v>52.37</v>
      </c>
      <c r="F17" s="8">
        <v>5277339.8</v>
      </c>
    </row>
    <row r="18" spans="1:6">
      <c r="A18" s="5" t="s">
        <v>32</v>
      </c>
      <c r="B18" s="6">
        <v>5513</v>
      </c>
      <c r="C18" s="8">
        <v>726033.19</v>
      </c>
      <c r="D18" s="8">
        <v>131.69</v>
      </c>
      <c r="E18" s="7">
        <v>-26.5</v>
      </c>
      <c r="F18" s="8">
        <v>6003372.99</v>
      </c>
    </row>
    <row r="19" spans="1:6">
      <c r="A19" s="5" t="s">
        <v>33</v>
      </c>
      <c r="B19" s="6">
        <v>7069</v>
      </c>
      <c r="C19" s="8">
        <v>924645</v>
      </c>
      <c r="D19" s="8">
        <v>130.8</v>
      </c>
      <c r="E19" s="7">
        <v>27.36</v>
      </c>
      <c r="F19" s="8">
        <v>6928017.99</v>
      </c>
    </row>
    <row r="20" spans="1:6">
      <c r="A20" s="5" t="s">
        <v>34</v>
      </c>
      <c r="B20" s="6">
        <v>6555</v>
      </c>
      <c r="C20" s="8">
        <v>826437.13</v>
      </c>
      <c r="D20" s="8">
        <v>126.08</v>
      </c>
      <c r="E20" s="7">
        <v>-10.62</v>
      </c>
      <c r="F20" s="8">
        <v>7754455.12</v>
      </c>
    </row>
    <row r="21" spans="1:6">
      <c r="A21" s="5" t="s">
        <v>35</v>
      </c>
      <c r="B21" s="6">
        <v>7003</v>
      </c>
      <c r="C21" s="8">
        <v>953356.25</v>
      </c>
      <c r="D21" s="8">
        <v>136.14</v>
      </c>
      <c r="E21" s="7">
        <v>15.36</v>
      </c>
      <c r="F21" s="8">
        <v>8707811.37</v>
      </c>
    </row>
    <row r="22" spans="1:6">
      <c r="A22" s="5" t="s">
        <v>36</v>
      </c>
      <c r="B22" s="6">
        <v>6798</v>
      </c>
      <c r="C22" s="8">
        <v>973534.09</v>
      </c>
      <c r="D22" s="8">
        <v>143.21</v>
      </c>
      <c r="E22" s="7">
        <v>2.12</v>
      </c>
      <c r="F22" s="8">
        <v>9681345.46</v>
      </c>
    </row>
    <row r="23" spans="1:6">
      <c r="A23" s="5" t="s">
        <v>37</v>
      </c>
      <c r="B23" s="6">
        <v>6749</v>
      </c>
      <c r="C23" s="8">
        <v>977544.69</v>
      </c>
      <c r="D23" s="8">
        <v>144.84</v>
      </c>
      <c r="E23" s="7">
        <v>0.41</v>
      </c>
      <c r="F23" s="8">
        <v>10658890.15</v>
      </c>
    </row>
    <row r="24" spans="1:6">
      <c r="A24" s="5" t="s">
        <v>38</v>
      </c>
      <c r="B24" s="6">
        <v>6099</v>
      </c>
      <c r="C24" s="8">
        <v>856077.86</v>
      </c>
      <c r="D24" s="8">
        <v>140.36</v>
      </c>
      <c r="E24" s="7">
        <v>-12.43</v>
      </c>
      <c r="F24" s="8">
        <v>11514968.01</v>
      </c>
    </row>
    <row r="25" spans="1:6">
      <c r="A25" s="5" t="s">
        <v>39</v>
      </c>
      <c r="B25" s="6">
        <v>6159</v>
      </c>
      <c r="C25" s="8">
        <v>867953.46</v>
      </c>
      <c r="D25" s="8">
        <v>140.92</v>
      </c>
      <c r="E25" s="7">
        <v>1.39</v>
      </c>
      <c r="F25" s="8">
        <v>12382921.47</v>
      </c>
    </row>
    <row r="26" spans="1:6">
      <c r="A26" s="5" t="s">
        <v>40</v>
      </c>
      <c r="B26" s="6">
        <v>6351</v>
      </c>
      <c r="C26" s="8">
        <v>838576.64</v>
      </c>
      <c r="D26" s="8">
        <v>132.04</v>
      </c>
      <c r="E26" s="7">
        <v>-3.38</v>
      </c>
      <c r="F26" s="8">
        <v>13221498.11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E6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Row="5" outlineLevelCol="4"/>
  <cols>
    <col min="1" max="1" width="16" customWidth="1"/>
    <col min="2" max="2" width="12" customWidth="1"/>
    <col min="3" max="3" width="13" customWidth="1"/>
    <col min="4" max="4" width="18" customWidth="1"/>
    <col min="5" max="5" width="19" customWidth="1"/>
  </cols>
  <sheetData>
    <row r="1" ht="16.5" spans="1:5">
      <c r="A1" s="1" t="s">
        <v>96</v>
      </c>
    </row>
    <row r="2" spans="1:5">
      <c r="A2" s="2" t="s">
        <v>97</v>
      </c>
    </row>
    <row r="3" ht="30" customHeight="1" spans="1:5">
      <c r="A3" s="3" t="s">
        <v>98</v>
      </c>
      <c r="B3" s="3" t="s">
        <v>77</v>
      </c>
      <c r="C3" s="3" t="s">
        <v>90</v>
      </c>
      <c r="D3" s="3" t="s">
        <v>69</v>
      </c>
      <c r="E3" s="3" t="s">
        <v>66</v>
      </c>
    </row>
    <row r="4" spans="1:5">
      <c r="A4" s="9">
        <v>2016</v>
      </c>
      <c r="B4" s="6">
        <v>267</v>
      </c>
      <c r="C4" s="8">
        <v>40470.98</v>
      </c>
      <c r="D4" s="8">
        <v>151.58</v>
      </c>
      <c r="E4" s="6">
        <v>264</v>
      </c>
    </row>
    <row r="5" spans="1:5">
      <c r="A5" s="9">
        <v>2017</v>
      </c>
      <c r="B5" s="6">
        <v>43428</v>
      </c>
      <c r="C5" s="8">
        <v>5962902.01</v>
      </c>
      <c r="D5" s="8">
        <v>137.31</v>
      </c>
      <c r="E5" s="6">
        <v>42136</v>
      </c>
    </row>
    <row r="6" spans="1:5">
      <c r="A6" s="9">
        <v>2018</v>
      </c>
      <c r="B6" s="6">
        <v>52783</v>
      </c>
      <c r="C6" s="8">
        <v>7218125.12</v>
      </c>
      <c r="D6" s="8">
        <v>136.75</v>
      </c>
      <c r="E6" s="6">
        <v>51612</v>
      </c>
    </row>
  </sheetData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D10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14" customWidth="1"/>
    <col min="2" max="2" width="15" customWidth="1"/>
    <col min="3" max="3" width="12" customWidth="1"/>
    <col min="4" max="4" width="13" customWidth="1"/>
  </cols>
  <sheetData>
    <row r="1" ht="16.5" spans="1:4">
      <c r="A1" s="1" t="s">
        <v>99</v>
      </c>
    </row>
    <row r="2" spans="1:4">
      <c r="A2" s="2" t="s">
        <v>100</v>
      </c>
    </row>
    <row r="3" ht="30" customHeight="1" spans="1:4">
      <c r="A3" s="3" t="s">
        <v>101</v>
      </c>
      <c r="B3" s="3" t="s">
        <v>102</v>
      </c>
      <c r="C3" s="3" t="s">
        <v>77</v>
      </c>
      <c r="D3" s="3" t="s">
        <v>90</v>
      </c>
    </row>
    <row r="4" spans="1:4">
      <c r="A4" s="9">
        <v>0</v>
      </c>
      <c r="B4" s="5" t="s">
        <v>103</v>
      </c>
      <c r="C4" s="6">
        <v>15701</v>
      </c>
      <c r="D4" s="8">
        <v>2168905.61</v>
      </c>
    </row>
    <row r="5" spans="1:4">
      <c r="A5" s="9">
        <v>1</v>
      </c>
      <c r="B5" s="5" t="s">
        <v>104</v>
      </c>
      <c r="C5" s="6">
        <v>15503</v>
      </c>
      <c r="D5" s="8">
        <v>2122264.52</v>
      </c>
    </row>
    <row r="6" spans="1:4">
      <c r="A6" s="9">
        <v>2</v>
      </c>
      <c r="B6" s="5" t="s">
        <v>105</v>
      </c>
      <c r="C6" s="6">
        <v>15076</v>
      </c>
      <c r="D6" s="8">
        <v>2051533.71</v>
      </c>
    </row>
    <row r="7" spans="1:4">
      <c r="A7" s="9">
        <v>3</v>
      </c>
      <c r="B7" s="5" t="s">
        <v>106</v>
      </c>
      <c r="C7" s="6">
        <v>14323</v>
      </c>
      <c r="D7" s="8">
        <v>1958600.49</v>
      </c>
    </row>
    <row r="8" spans="1:4">
      <c r="A8" s="9">
        <v>4</v>
      </c>
      <c r="B8" s="5" t="s">
        <v>107</v>
      </c>
      <c r="C8" s="6">
        <v>13685</v>
      </c>
      <c r="D8" s="8">
        <v>1910496.12</v>
      </c>
    </row>
    <row r="9" spans="1:4">
      <c r="A9" s="9">
        <v>5</v>
      </c>
      <c r="B9" s="5" t="s">
        <v>108</v>
      </c>
      <c r="C9" s="6">
        <v>10555</v>
      </c>
      <c r="D9" s="8">
        <v>1464049.6</v>
      </c>
    </row>
    <row r="10" spans="1:4">
      <c r="A10" s="9">
        <v>6</v>
      </c>
      <c r="B10" s="5" t="s">
        <v>109</v>
      </c>
      <c r="C10" s="6">
        <v>11635</v>
      </c>
      <c r="D10" s="8">
        <v>1545648.06</v>
      </c>
    </row>
  </sheetData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C27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16" customWidth="1"/>
    <col min="2" max="3" width="12" customWidth="1"/>
  </cols>
  <sheetData>
    <row r="1" ht="16.5" spans="1:3">
      <c r="A1" s="1" t="s">
        <v>110</v>
      </c>
    </row>
    <row r="2" spans="1:3">
      <c r="A2" s="2" t="s">
        <v>111</v>
      </c>
    </row>
    <row r="3" ht="30" customHeight="1" spans="1:3">
      <c r="A3" s="3" t="s">
        <v>112</v>
      </c>
      <c r="B3" s="3" t="s">
        <v>77</v>
      </c>
      <c r="C3" s="3" t="s">
        <v>90</v>
      </c>
    </row>
    <row r="4" spans="1:3">
      <c r="A4" s="9">
        <v>0</v>
      </c>
      <c r="B4" s="6">
        <v>2321</v>
      </c>
      <c r="C4" s="8">
        <v>307166.35</v>
      </c>
    </row>
    <row r="5" spans="1:3">
      <c r="A5" s="9">
        <v>1</v>
      </c>
      <c r="B5" s="6">
        <v>1133</v>
      </c>
      <c r="C5" s="8">
        <v>147608.07</v>
      </c>
    </row>
    <row r="6" spans="1:3">
      <c r="A6" s="9">
        <v>2</v>
      </c>
      <c r="B6" s="6">
        <v>496</v>
      </c>
      <c r="C6" s="8">
        <v>54028.76</v>
      </c>
    </row>
    <row r="7" spans="1:3">
      <c r="A7" s="9">
        <v>3</v>
      </c>
      <c r="B7" s="6">
        <v>259</v>
      </c>
      <c r="C7" s="8">
        <v>32100.68</v>
      </c>
    </row>
    <row r="8" spans="1:3">
      <c r="A8" s="9">
        <v>4</v>
      </c>
      <c r="B8" s="6">
        <v>203</v>
      </c>
      <c r="C8" s="8">
        <v>24191.61</v>
      </c>
    </row>
    <row r="9" spans="1:3">
      <c r="A9" s="9">
        <v>5</v>
      </c>
      <c r="B9" s="6">
        <v>182</v>
      </c>
      <c r="C9" s="8">
        <v>21905.22</v>
      </c>
    </row>
    <row r="10" spans="1:3">
      <c r="A10" s="9">
        <v>6</v>
      </c>
      <c r="B10" s="6">
        <v>478</v>
      </c>
      <c r="C10" s="8">
        <v>53772.91</v>
      </c>
    </row>
    <row r="11" spans="1:3">
      <c r="A11" s="9">
        <v>7</v>
      </c>
      <c r="B11" s="6">
        <v>1199</v>
      </c>
      <c r="C11" s="8">
        <v>147781.69</v>
      </c>
    </row>
    <row r="12" spans="1:3">
      <c r="A12" s="9">
        <v>8</v>
      </c>
      <c r="B12" s="6">
        <v>2907</v>
      </c>
      <c r="C12" s="8">
        <v>386356.06</v>
      </c>
    </row>
    <row r="13" spans="1:3">
      <c r="A13" s="9">
        <v>9</v>
      </c>
      <c r="B13" s="6">
        <v>4647</v>
      </c>
      <c r="C13" s="8">
        <v>666581.16</v>
      </c>
    </row>
    <row r="14" spans="1:3">
      <c r="A14" s="9">
        <v>10</v>
      </c>
      <c r="B14" s="6">
        <v>5978</v>
      </c>
      <c r="C14" s="8">
        <v>813492.67</v>
      </c>
    </row>
    <row r="15" spans="1:3">
      <c r="A15" s="9">
        <v>11</v>
      </c>
      <c r="B15" s="6">
        <v>6385</v>
      </c>
      <c r="C15" s="8">
        <v>852420.68</v>
      </c>
    </row>
    <row r="16" spans="1:3">
      <c r="A16" s="9">
        <v>12</v>
      </c>
      <c r="B16" s="6">
        <v>5803</v>
      </c>
      <c r="C16" s="8">
        <v>814983.15</v>
      </c>
    </row>
    <row r="17" spans="1:3">
      <c r="A17" s="9">
        <v>13</v>
      </c>
      <c r="B17" s="6">
        <v>6309</v>
      </c>
      <c r="C17" s="8">
        <v>848708.07</v>
      </c>
    </row>
    <row r="18" spans="1:3">
      <c r="A18" s="9">
        <v>14</v>
      </c>
      <c r="B18" s="6">
        <v>6383</v>
      </c>
      <c r="C18" s="8">
        <v>925967.1</v>
      </c>
    </row>
    <row r="19" spans="1:3">
      <c r="A19" s="9">
        <v>15</v>
      </c>
      <c r="B19" s="6">
        <v>6249</v>
      </c>
      <c r="C19" s="8">
        <v>880248.22</v>
      </c>
    </row>
    <row r="20" spans="1:3">
      <c r="A20" s="9">
        <v>16</v>
      </c>
      <c r="B20" s="6">
        <v>6476</v>
      </c>
      <c r="C20" s="8">
        <v>907890.64</v>
      </c>
    </row>
    <row r="21" spans="1:3">
      <c r="A21" s="9">
        <v>17</v>
      </c>
      <c r="B21" s="6">
        <v>5963</v>
      </c>
      <c r="C21" s="8">
        <v>812429.29</v>
      </c>
    </row>
    <row r="22" spans="1:3">
      <c r="A22" s="9">
        <v>18</v>
      </c>
      <c r="B22" s="6">
        <v>5585</v>
      </c>
      <c r="C22" s="8">
        <v>798578.94</v>
      </c>
    </row>
    <row r="23" spans="1:3">
      <c r="A23" s="9">
        <v>19</v>
      </c>
      <c r="B23" s="6">
        <v>5801</v>
      </c>
      <c r="C23" s="8">
        <v>800102.61</v>
      </c>
    </row>
    <row r="24" spans="1:3">
      <c r="A24" s="9">
        <v>20</v>
      </c>
      <c r="B24" s="6">
        <v>6007</v>
      </c>
      <c r="C24" s="8">
        <v>829998.61</v>
      </c>
    </row>
    <row r="25" spans="1:3">
      <c r="A25" s="9">
        <v>21</v>
      </c>
      <c r="B25" s="6">
        <v>6040</v>
      </c>
      <c r="C25" s="8">
        <v>811729.8</v>
      </c>
    </row>
    <row r="26" spans="1:3">
      <c r="A26" s="9">
        <v>22</v>
      </c>
      <c r="B26" s="6">
        <v>5659</v>
      </c>
      <c r="C26" s="8">
        <v>768660.96</v>
      </c>
    </row>
    <row r="27" spans="1:3">
      <c r="A27" s="9">
        <v>23</v>
      </c>
      <c r="B27" s="6">
        <v>4015</v>
      </c>
      <c r="C27" s="8">
        <v>514794.86</v>
      </c>
    </row>
  </sheetData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H77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7"/>
  <cols>
    <col min="1" max="1" width="15" customWidth="1"/>
    <col min="2" max="2" width="42" customWidth="1"/>
    <col min="3" max="3" width="12" customWidth="1"/>
    <col min="4" max="5" width="13" customWidth="1"/>
    <col min="6" max="6" width="20" customWidth="1"/>
    <col min="7" max="7" width="17" customWidth="1"/>
    <col min="8" max="8" width="19" customWidth="1"/>
  </cols>
  <sheetData>
    <row r="1" ht="16.5" spans="1:8">
      <c r="A1" s="1" t="s">
        <v>113</v>
      </c>
    </row>
    <row r="2" spans="1:8">
      <c r="A2" s="2" t="s">
        <v>114</v>
      </c>
    </row>
    <row r="3" ht="30" customHeight="1" spans="1:8">
      <c r="A3" s="3" t="s">
        <v>115</v>
      </c>
      <c r="B3" s="3" t="s">
        <v>116</v>
      </c>
      <c r="C3" s="3" t="s">
        <v>77</v>
      </c>
      <c r="D3" s="3" t="s">
        <v>117</v>
      </c>
      <c r="E3" s="3" t="s">
        <v>90</v>
      </c>
      <c r="F3" s="3" t="s">
        <v>118</v>
      </c>
      <c r="G3" s="3" t="s">
        <v>119</v>
      </c>
      <c r="H3" s="3" t="s">
        <v>73</v>
      </c>
    </row>
    <row r="4" spans="1:8">
      <c r="A4" s="8">
        <v>1</v>
      </c>
      <c r="B4" s="5" t="s">
        <v>120</v>
      </c>
      <c r="C4" s="6">
        <v>8647</v>
      </c>
      <c r="D4" s="6">
        <v>9465</v>
      </c>
      <c r="E4" s="8">
        <v>1233131.72</v>
      </c>
      <c r="F4" s="7">
        <v>9.33</v>
      </c>
      <c r="G4" s="8">
        <v>130.28</v>
      </c>
      <c r="H4" s="7">
        <v>4.19</v>
      </c>
    </row>
    <row r="5" spans="1:8">
      <c r="A5" s="8">
        <v>2</v>
      </c>
      <c r="B5" s="5" t="s">
        <v>121</v>
      </c>
      <c r="C5" s="6">
        <v>5495</v>
      </c>
      <c r="D5" s="6">
        <v>5859</v>
      </c>
      <c r="E5" s="8">
        <v>1166176.98</v>
      </c>
      <c r="F5" s="7">
        <v>8.82</v>
      </c>
      <c r="G5" s="8">
        <v>199.04</v>
      </c>
      <c r="H5" s="7">
        <v>4.07</v>
      </c>
    </row>
    <row r="6" spans="1:8">
      <c r="A6" s="8">
        <v>3</v>
      </c>
      <c r="B6" s="5" t="s">
        <v>122</v>
      </c>
      <c r="C6" s="6">
        <v>9272</v>
      </c>
      <c r="D6" s="6">
        <v>10953</v>
      </c>
      <c r="E6" s="8">
        <v>1023434.76</v>
      </c>
      <c r="F6" s="7">
        <v>7.74</v>
      </c>
      <c r="G6" s="8">
        <v>93.44</v>
      </c>
      <c r="H6" s="7">
        <v>3.92</v>
      </c>
    </row>
    <row r="7" spans="1:8">
      <c r="A7" s="8">
        <v>4</v>
      </c>
      <c r="B7" s="5" t="s">
        <v>123</v>
      </c>
      <c r="C7" s="6">
        <v>7530</v>
      </c>
      <c r="D7" s="6">
        <v>8431</v>
      </c>
      <c r="E7" s="8">
        <v>954852.55</v>
      </c>
      <c r="F7" s="7">
        <v>7.22</v>
      </c>
      <c r="G7" s="8">
        <v>113.25</v>
      </c>
      <c r="H7" s="7">
        <v>4.17</v>
      </c>
    </row>
    <row r="8" spans="1:8">
      <c r="A8" s="8">
        <v>5</v>
      </c>
      <c r="B8" s="5" t="s">
        <v>124</v>
      </c>
      <c r="C8" s="6">
        <v>6530</v>
      </c>
      <c r="D8" s="6">
        <v>7644</v>
      </c>
      <c r="E8" s="8">
        <v>888724.61</v>
      </c>
      <c r="F8" s="7">
        <v>6.72</v>
      </c>
      <c r="G8" s="8">
        <v>116.26</v>
      </c>
      <c r="H8" s="7">
        <v>3.99</v>
      </c>
    </row>
    <row r="9" spans="1:8">
      <c r="A9" s="8">
        <v>6</v>
      </c>
      <c r="B9" s="5" t="s">
        <v>125</v>
      </c>
      <c r="C9" s="6">
        <v>6307</v>
      </c>
      <c r="D9" s="6">
        <v>8160</v>
      </c>
      <c r="E9" s="8">
        <v>711927.69</v>
      </c>
      <c r="F9" s="7">
        <v>5.38</v>
      </c>
      <c r="G9" s="8">
        <v>87.25</v>
      </c>
      <c r="H9" s="7">
        <v>3.95</v>
      </c>
    </row>
    <row r="10" spans="1:8">
      <c r="A10" s="8">
        <v>7</v>
      </c>
      <c r="B10" s="5" t="s">
        <v>126</v>
      </c>
      <c r="C10" s="6">
        <v>5743</v>
      </c>
      <c r="D10" s="6">
        <v>6795</v>
      </c>
      <c r="E10" s="8">
        <v>615628.69</v>
      </c>
      <c r="F10" s="7">
        <v>4.66</v>
      </c>
      <c r="G10" s="8">
        <v>90.6</v>
      </c>
      <c r="H10" s="7">
        <v>4.11</v>
      </c>
    </row>
    <row r="11" spans="1:8">
      <c r="A11" s="8">
        <v>8</v>
      </c>
      <c r="B11" s="5" t="s">
        <v>127</v>
      </c>
      <c r="C11" s="6">
        <v>3559</v>
      </c>
      <c r="D11" s="6">
        <v>3718</v>
      </c>
      <c r="E11" s="8">
        <v>610204.1</v>
      </c>
      <c r="F11" s="7">
        <v>4.62</v>
      </c>
      <c r="G11" s="8">
        <v>164.12</v>
      </c>
      <c r="H11" s="7">
        <v>4.19</v>
      </c>
    </row>
    <row r="12" spans="1:8">
      <c r="A12" s="8">
        <v>9</v>
      </c>
      <c r="B12" s="5" t="s">
        <v>128</v>
      </c>
      <c r="C12" s="6">
        <v>3810</v>
      </c>
      <c r="D12" s="6">
        <v>4140</v>
      </c>
      <c r="E12" s="8">
        <v>578966.65</v>
      </c>
      <c r="F12" s="7">
        <v>4.38</v>
      </c>
      <c r="G12" s="8">
        <v>139.85</v>
      </c>
      <c r="H12" s="7">
        <v>4.12</v>
      </c>
    </row>
    <row r="13" spans="1:8">
      <c r="A13" s="8">
        <v>10</v>
      </c>
      <c r="B13" s="5" t="s">
        <v>129</v>
      </c>
      <c r="C13" s="6">
        <v>3804</v>
      </c>
      <c r="D13" s="6">
        <v>4030</v>
      </c>
      <c r="E13" s="8">
        <v>471286.48</v>
      </c>
      <c r="F13" s="7">
        <v>3.56</v>
      </c>
      <c r="G13" s="8">
        <v>116.94</v>
      </c>
      <c r="H13" s="7">
        <v>4.21</v>
      </c>
    </row>
    <row r="14" spans="1:8">
      <c r="A14" s="8">
        <v>11</v>
      </c>
      <c r="B14" s="5" t="s">
        <v>130</v>
      </c>
      <c r="C14" s="6">
        <v>3448</v>
      </c>
      <c r="D14" s="6">
        <v>4268</v>
      </c>
      <c r="E14" s="8">
        <v>470495.28</v>
      </c>
      <c r="F14" s="7">
        <v>3.56</v>
      </c>
      <c r="G14" s="8">
        <v>110.24</v>
      </c>
      <c r="H14" s="7">
        <v>4.08</v>
      </c>
    </row>
    <row r="15" spans="1:8">
      <c r="A15" s="8">
        <v>12</v>
      </c>
      <c r="B15" s="5" t="s">
        <v>131</v>
      </c>
      <c r="C15" s="6">
        <v>2809</v>
      </c>
      <c r="D15" s="6">
        <v>2982</v>
      </c>
      <c r="E15" s="8">
        <v>400421.84</v>
      </c>
      <c r="F15" s="7">
        <v>3.03</v>
      </c>
      <c r="G15" s="8">
        <v>134.28</v>
      </c>
      <c r="H15" s="7">
        <v>4.08</v>
      </c>
    </row>
    <row r="16" spans="1:8">
      <c r="A16" s="8">
        <v>13</v>
      </c>
      <c r="B16" s="5" t="s">
        <v>132</v>
      </c>
      <c r="C16" s="6">
        <v>3086</v>
      </c>
      <c r="D16" s="6">
        <v>3340</v>
      </c>
      <c r="E16" s="8">
        <v>390144.65</v>
      </c>
      <c r="F16" s="7">
        <v>2.95</v>
      </c>
      <c r="G16" s="8">
        <v>116.81</v>
      </c>
      <c r="H16" s="7">
        <v>4.22</v>
      </c>
    </row>
    <row r="17" spans="1:8">
      <c r="A17" s="8">
        <v>14</v>
      </c>
      <c r="B17" s="5" t="s">
        <v>133</v>
      </c>
      <c r="C17" s="6">
        <v>4093</v>
      </c>
      <c r="D17" s="6">
        <v>4430</v>
      </c>
      <c r="E17" s="8">
        <v>309860.23</v>
      </c>
      <c r="F17" s="7">
        <v>2.34</v>
      </c>
      <c r="G17" s="8">
        <v>69.95</v>
      </c>
      <c r="H17" s="7">
        <v>3.99</v>
      </c>
    </row>
    <row r="18" spans="1:8">
      <c r="A18" s="8">
        <v>15</v>
      </c>
      <c r="B18" s="5" t="s">
        <v>134</v>
      </c>
      <c r="C18" s="6">
        <v>1254</v>
      </c>
      <c r="D18" s="6">
        <v>1668</v>
      </c>
      <c r="E18" s="8">
        <v>268154.31</v>
      </c>
      <c r="F18" s="7">
        <v>2.03</v>
      </c>
      <c r="G18" s="8">
        <v>160.76</v>
      </c>
      <c r="H18" s="7">
        <v>3.51</v>
      </c>
    </row>
    <row r="19" spans="1:8">
      <c r="A19" s="8">
        <v>16</v>
      </c>
      <c r="B19" s="5" t="s">
        <v>135</v>
      </c>
      <c r="C19" s="6">
        <v>2264</v>
      </c>
      <c r="D19" s="6">
        <v>2466</v>
      </c>
      <c r="E19" s="8">
        <v>223788.69</v>
      </c>
      <c r="F19" s="7">
        <v>1.69</v>
      </c>
      <c r="G19" s="8">
        <v>90.75</v>
      </c>
      <c r="H19" s="7">
        <v>4.25</v>
      </c>
    </row>
    <row r="20" spans="1:8">
      <c r="A20" s="8">
        <v>17</v>
      </c>
      <c r="B20" s="5" t="s">
        <v>136</v>
      </c>
      <c r="C20" s="6">
        <v>177</v>
      </c>
      <c r="D20" s="6">
        <v>199</v>
      </c>
      <c r="E20" s="8">
        <v>218684.14</v>
      </c>
      <c r="F20" s="7">
        <v>1.65</v>
      </c>
      <c r="G20" s="8">
        <v>1098.92</v>
      </c>
      <c r="H20" s="7">
        <v>4.22</v>
      </c>
    </row>
    <row r="21" spans="1:8">
      <c r="A21" s="8">
        <v>18</v>
      </c>
      <c r="B21" s="5" t="s">
        <v>137</v>
      </c>
      <c r="C21" s="6">
        <v>1688</v>
      </c>
      <c r="D21" s="6">
        <v>1924</v>
      </c>
      <c r="E21" s="8">
        <v>211695.64</v>
      </c>
      <c r="F21" s="7">
        <v>1.6</v>
      </c>
      <c r="G21" s="8">
        <v>110.03</v>
      </c>
      <c r="H21" s="7">
        <v>4.22</v>
      </c>
    </row>
    <row r="22" spans="1:8">
      <c r="A22" s="8">
        <v>19</v>
      </c>
      <c r="B22" s="5" t="s">
        <v>138</v>
      </c>
      <c r="C22" s="6">
        <v>611</v>
      </c>
      <c r="D22" s="6">
        <v>651</v>
      </c>
      <c r="E22" s="8">
        <v>184315.74</v>
      </c>
      <c r="F22" s="7">
        <v>1.39</v>
      </c>
      <c r="G22" s="8">
        <v>283.13</v>
      </c>
      <c r="H22" s="7">
        <v>4.22</v>
      </c>
    </row>
    <row r="23" spans="1:8">
      <c r="A23" s="8">
        <v>20</v>
      </c>
      <c r="B23" s="5" t="s">
        <v>139</v>
      </c>
      <c r="C23" s="6">
        <v>609</v>
      </c>
      <c r="D23" s="6">
        <v>658</v>
      </c>
      <c r="E23" s="8">
        <v>182754.12</v>
      </c>
      <c r="F23" s="7">
        <v>1.38</v>
      </c>
      <c r="G23" s="8">
        <v>277.74</v>
      </c>
      <c r="H23" s="7">
        <v>4.23</v>
      </c>
    </row>
    <row r="24" spans="1:8">
      <c r="A24" s="8">
        <v>21</v>
      </c>
      <c r="B24" s="5" t="s">
        <v>140</v>
      </c>
      <c r="C24" s="6">
        <v>1392</v>
      </c>
      <c r="D24" s="6">
        <v>1537</v>
      </c>
      <c r="E24" s="8">
        <v>170726.63</v>
      </c>
      <c r="F24" s="7">
        <v>1.29</v>
      </c>
      <c r="G24" s="8">
        <v>111.08</v>
      </c>
      <c r="H24" s="7">
        <v>3.94</v>
      </c>
    </row>
    <row r="25" spans="1:8">
      <c r="A25" s="8">
        <v>22</v>
      </c>
      <c r="B25" s="5" t="s">
        <v>141</v>
      </c>
      <c r="C25" s="6">
        <v>2517</v>
      </c>
      <c r="D25" s="6">
        <v>2729</v>
      </c>
      <c r="E25" s="8">
        <v>155043.93</v>
      </c>
      <c r="F25" s="7">
        <v>1.17</v>
      </c>
      <c r="G25" s="8">
        <v>56.81</v>
      </c>
      <c r="H25" s="7">
        <v>4.07</v>
      </c>
    </row>
    <row r="26" spans="1:8">
      <c r="A26" s="8">
        <v>23</v>
      </c>
      <c r="B26" s="5" t="s">
        <v>142</v>
      </c>
      <c r="C26" s="6">
        <v>1820</v>
      </c>
      <c r="D26" s="6">
        <v>1985</v>
      </c>
      <c r="E26" s="8">
        <v>149329.39</v>
      </c>
      <c r="F26" s="7">
        <v>1.13</v>
      </c>
      <c r="G26" s="8">
        <v>75.23</v>
      </c>
      <c r="H26" s="7">
        <v>4.19</v>
      </c>
    </row>
    <row r="27" spans="1:8">
      <c r="A27" s="8">
        <v>24</v>
      </c>
      <c r="B27" s="5" t="s">
        <v>143</v>
      </c>
      <c r="C27" s="6">
        <v>1018</v>
      </c>
      <c r="D27" s="6">
        <v>1089</v>
      </c>
      <c r="E27" s="8">
        <v>148003.37</v>
      </c>
      <c r="F27" s="7">
        <v>1.12</v>
      </c>
      <c r="G27" s="8">
        <v>135.91</v>
      </c>
      <c r="H27" s="7">
        <v>4.14</v>
      </c>
    </row>
    <row r="28" spans="1:8">
      <c r="A28" s="8">
        <v>25</v>
      </c>
      <c r="B28" s="5" t="s">
        <v>144</v>
      </c>
      <c r="C28" s="6">
        <v>736</v>
      </c>
      <c r="D28" s="6">
        <v>916</v>
      </c>
      <c r="E28" s="8">
        <v>142108.49</v>
      </c>
      <c r="F28" s="7">
        <v>1.07</v>
      </c>
      <c r="G28" s="8">
        <v>155.14</v>
      </c>
      <c r="H28" s="7">
        <v>4.09</v>
      </c>
    </row>
    <row r="29" spans="1:8">
      <c r="A29" s="8">
        <v>26</v>
      </c>
      <c r="B29" s="5" t="s">
        <v>145</v>
      </c>
      <c r="C29" s="6">
        <v>1019</v>
      </c>
      <c r="D29" s="6">
        <v>1077</v>
      </c>
      <c r="E29" s="8">
        <v>138701.63</v>
      </c>
      <c r="F29" s="7">
        <v>1.05</v>
      </c>
      <c r="G29" s="8">
        <v>128.79</v>
      </c>
      <c r="H29" s="7">
        <v>4.35</v>
      </c>
    </row>
    <row r="30" spans="1:8">
      <c r="A30" s="8">
        <v>27</v>
      </c>
      <c r="B30" s="5" t="s">
        <v>146</v>
      </c>
      <c r="C30" s="6">
        <v>227</v>
      </c>
      <c r="D30" s="6">
        <v>231</v>
      </c>
      <c r="E30" s="8">
        <v>107953.95</v>
      </c>
      <c r="F30" s="7">
        <v>0.82</v>
      </c>
      <c r="G30" s="8">
        <v>467.33</v>
      </c>
      <c r="H30" s="7">
        <v>4.16</v>
      </c>
    </row>
    <row r="31" spans="1:8">
      <c r="A31" s="8">
        <v>28</v>
      </c>
      <c r="B31" s="5" t="s">
        <v>147</v>
      </c>
      <c r="C31" s="6">
        <v>483</v>
      </c>
      <c r="D31" s="6">
        <v>596</v>
      </c>
      <c r="E31" s="8">
        <v>81407.57</v>
      </c>
      <c r="F31" s="7">
        <v>0.62</v>
      </c>
      <c r="G31" s="8">
        <v>136.59</v>
      </c>
      <c r="H31" s="7">
        <v>3.96</v>
      </c>
    </row>
    <row r="32" spans="1:8">
      <c r="A32" s="8">
        <v>29</v>
      </c>
      <c r="B32" s="5" t="s">
        <v>148</v>
      </c>
      <c r="C32" s="6">
        <v>747</v>
      </c>
      <c r="D32" s="6">
        <v>754</v>
      </c>
      <c r="E32" s="8">
        <v>78832.48</v>
      </c>
      <c r="F32" s="7">
        <v>0.6</v>
      </c>
      <c r="G32" s="8">
        <v>104.55</v>
      </c>
      <c r="H32" s="7">
        <v>4.22</v>
      </c>
    </row>
    <row r="33" spans="1:8">
      <c r="A33" s="8">
        <v>30</v>
      </c>
      <c r="B33" s="5" t="s">
        <v>149</v>
      </c>
      <c r="C33" s="6">
        <v>177</v>
      </c>
      <c r="D33" s="6">
        <v>206</v>
      </c>
      <c r="E33" s="8">
        <v>70566.1</v>
      </c>
      <c r="F33" s="7">
        <v>0.53</v>
      </c>
      <c r="G33" s="8">
        <v>342.55</v>
      </c>
      <c r="H33" s="7">
        <v>4.09</v>
      </c>
    </row>
    <row r="34" spans="1:8">
      <c r="A34" s="8">
        <v>31</v>
      </c>
      <c r="B34" s="5" t="s">
        <v>150</v>
      </c>
      <c r="C34" s="6">
        <v>414</v>
      </c>
      <c r="D34" s="6">
        <v>495</v>
      </c>
      <c r="E34" s="8">
        <v>67350.7</v>
      </c>
      <c r="F34" s="7">
        <v>0.51</v>
      </c>
      <c r="G34" s="8">
        <v>136.06</v>
      </c>
      <c r="H34" s="7">
        <v>3.93</v>
      </c>
    </row>
    <row r="35" spans="1:8">
      <c r="A35" s="8">
        <v>32</v>
      </c>
      <c r="B35" s="5" t="s">
        <v>151</v>
      </c>
      <c r="C35" s="6">
        <v>392</v>
      </c>
      <c r="D35" s="6">
        <v>429</v>
      </c>
      <c r="E35" s="8">
        <v>58008.45</v>
      </c>
      <c r="F35" s="7">
        <v>0.44</v>
      </c>
      <c r="G35" s="8">
        <v>135.22</v>
      </c>
      <c r="H35" s="7">
        <v>3.85</v>
      </c>
    </row>
    <row r="36" spans="1:8">
      <c r="A36" s="8">
        <v>33</v>
      </c>
      <c r="B36" s="5" t="s">
        <v>152</v>
      </c>
      <c r="C36" s="6">
        <v>212</v>
      </c>
      <c r="D36" s="6">
        <v>255</v>
      </c>
      <c r="E36" s="8">
        <v>55315.21</v>
      </c>
      <c r="F36" s="7">
        <v>0.42</v>
      </c>
      <c r="G36" s="8">
        <v>216.92</v>
      </c>
      <c r="H36" s="7">
        <v>3.76</v>
      </c>
    </row>
    <row r="37" spans="1:8">
      <c r="A37" s="8">
        <v>34</v>
      </c>
      <c r="B37" s="5" t="s">
        <v>153</v>
      </c>
      <c r="C37" s="6">
        <v>246</v>
      </c>
      <c r="D37" s="6">
        <v>289</v>
      </c>
      <c r="E37" s="8">
        <v>53323.56</v>
      </c>
      <c r="F37" s="7">
        <v>0.4</v>
      </c>
      <c r="G37" s="8">
        <v>184.51</v>
      </c>
      <c r="H37" s="7">
        <v>4.05</v>
      </c>
    </row>
    <row r="38" spans="1:8">
      <c r="A38" s="8">
        <v>35</v>
      </c>
      <c r="B38" s="5" t="s">
        <v>154</v>
      </c>
      <c r="C38" s="6">
        <v>348</v>
      </c>
      <c r="D38" s="6">
        <v>362</v>
      </c>
      <c r="E38" s="8">
        <v>50570.6</v>
      </c>
      <c r="F38" s="7">
        <v>0.38</v>
      </c>
      <c r="G38" s="8">
        <v>139.7</v>
      </c>
      <c r="H38" s="7">
        <v>3.84</v>
      </c>
    </row>
    <row r="39" spans="1:8">
      <c r="A39" s="8">
        <v>36</v>
      </c>
      <c r="B39" s="5" t="s">
        <v>155</v>
      </c>
      <c r="C39" s="6">
        <v>72</v>
      </c>
      <c r="D39" s="6">
        <v>73</v>
      </c>
      <c r="E39" s="8">
        <v>46589.56</v>
      </c>
      <c r="F39" s="7">
        <v>0.35</v>
      </c>
      <c r="G39" s="8">
        <v>638.21</v>
      </c>
      <c r="H39" s="7">
        <v>4.44</v>
      </c>
    </row>
    <row r="40" spans="1:8">
      <c r="A40" s="8">
        <v>37</v>
      </c>
      <c r="B40" s="5" t="s">
        <v>156</v>
      </c>
      <c r="C40" s="6">
        <v>241</v>
      </c>
      <c r="D40" s="6">
        <v>274</v>
      </c>
      <c r="E40" s="8">
        <v>45531.98</v>
      </c>
      <c r="F40" s="7">
        <v>0.34</v>
      </c>
      <c r="G40" s="8">
        <v>166.18</v>
      </c>
      <c r="H40" s="7">
        <v>4.03</v>
      </c>
    </row>
    <row r="41" spans="1:8">
      <c r="A41" s="8">
        <v>38</v>
      </c>
      <c r="B41" s="5" t="s">
        <v>157</v>
      </c>
      <c r="C41" s="6">
        <v>496</v>
      </c>
      <c r="D41" s="6">
        <v>537</v>
      </c>
      <c r="E41" s="8">
        <v>45302.15</v>
      </c>
      <c r="F41" s="7">
        <v>0.34</v>
      </c>
      <c r="G41" s="8">
        <v>84.36</v>
      </c>
      <c r="H41" s="7">
        <v>4.51</v>
      </c>
    </row>
    <row r="42" spans="1:8">
      <c r="A42" s="8">
        <v>39</v>
      </c>
      <c r="B42" s="5" t="s">
        <v>158</v>
      </c>
      <c r="C42" s="6">
        <v>242</v>
      </c>
      <c r="D42" s="6">
        <v>301</v>
      </c>
      <c r="E42" s="8">
        <v>39957</v>
      </c>
      <c r="F42" s="7">
        <v>0.3</v>
      </c>
      <c r="G42" s="8">
        <v>132.75</v>
      </c>
      <c r="H42" s="7">
        <v>4.08</v>
      </c>
    </row>
    <row r="43" spans="1:8">
      <c r="A43" s="8">
        <v>40</v>
      </c>
      <c r="B43" s="5" t="s">
        <v>159</v>
      </c>
      <c r="C43" s="6">
        <v>159</v>
      </c>
      <c r="D43" s="6">
        <v>183</v>
      </c>
      <c r="E43" s="8">
        <v>38773.22</v>
      </c>
      <c r="F43" s="7">
        <v>0.29</v>
      </c>
      <c r="G43" s="8">
        <v>211.88</v>
      </c>
      <c r="H43" s="7">
        <v>3.97</v>
      </c>
    </row>
    <row r="44" spans="1:8">
      <c r="A44" s="8">
        <v>41</v>
      </c>
      <c r="B44" s="5" t="s">
        <v>160</v>
      </c>
      <c r="C44" s="6">
        <v>232</v>
      </c>
      <c r="D44" s="6">
        <v>265</v>
      </c>
      <c r="E44" s="8">
        <v>38498.81</v>
      </c>
      <c r="F44" s="7">
        <v>0.29</v>
      </c>
      <c r="G44" s="8">
        <v>145.28</v>
      </c>
      <c r="H44" s="7">
        <v>4.13</v>
      </c>
    </row>
    <row r="45" spans="1:8">
      <c r="A45" s="8">
        <v>42</v>
      </c>
      <c r="B45" s="5" t="s">
        <v>161</v>
      </c>
      <c r="C45" s="6">
        <v>441</v>
      </c>
      <c r="D45" s="6">
        <v>499</v>
      </c>
      <c r="E45" s="8">
        <v>28731.15</v>
      </c>
      <c r="F45" s="7">
        <v>0.22</v>
      </c>
      <c r="G45" s="8">
        <v>57.58</v>
      </c>
      <c r="H45" s="7">
        <v>4.26</v>
      </c>
    </row>
    <row r="46" spans="1:8">
      <c r="A46" s="8">
        <v>43</v>
      </c>
      <c r="B46" s="5" t="s">
        <v>162</v>
      </c>
      <c r="C46" s="6">
        <v>274</v>
      </c>
      <c r="D46" s="6">
        <v>305</v>
      </c>
      <c r="E46" s="8">
        <v>27795.77</v>
      </c>
      <c r="F46" s="7">
        <v>0.21</v>
      </c>
      <c r="G46" s="8">
        <v>91.13</v>
      </c>
      <c r="H46" s="7">
        <v>4.07</v>
      </c>
    </row>
    <row r="47" spans="1:8">
      <c r="A47" s="8">
        <v>44</v>
      </c>
      <c r="B47" s="5" t="s">
        <v>163</v>
      </c>
      <c r="C47" s="6">
        <v>190</v>
      </c>
      <c r="D47" s="6">
        <v>232</v>
      </c>
      <c r="E47" s="8">
        <v>25096.28</v>
      </c>
      <c r="F47" s="7">
        <v>0.19</v>
      </c>
      <c r="G47" s="8">
        <v>108.17</v>
      </c>
      <c r="H47" s="7">
        <v>4.12</v>
      </c>
    </row>
    <row r="48" spans="1:8">
      <c r="A48" s="8">
        <v>45</v>
      </c>
      <c r="B48" s="5" t="s">
        <v>164</v>
      </c>
      <c r="C48" s="6">
        <v>195</v>
      </c>
      <c r="D48" s="6">
        <v>197</v>
      </c>
      <c r="E48" s="8">
        <v>23657.3</v>
      </c>
      <c r="F48" s="7">
        <v>0.18</v>
      </c>
      <c r="G48" s="8">
        <v>120.09</v>
      </c>
      <c r="H48" s="7">
        <v>4.08</v>
      </c>
    </row>
    <row r="49" spans="1:8">
      <c r="A49" s="8">
        <v>46</v>
      </c>
      <c r="B49" s="5" t="s">
        <v>165</v>
      </c>
      <c r="C49" s="6">
        <v>235</v>
      </c>
      <c r="D49" s="6">
        <v>257</v>
      </c>
      <c r="E49" s="8">
        <v>23001.46</v>
      </c>
      <c r="F49" s="7">
        <v>0.17</v>
      </c>
      <c r="G49" s="8">
        <v>89.5</v>
      </c>
      <c r="H49" s="7">
        <v>4.29</v>
      </c>
    </row>
    <row r="50" spans="1:8">
      <c r="A50" s="8">
        <v>47</v>
      </c>
      <c r="B50" s="5" t="s">
        <v>166</v>
      </c>
      <c r="C50" s="6">
        <v>287</v>
      </c>
      <c r="D50" s="6">
        <v>361</v>
      </c>
      <c r="E50" s="8">
        <v>21529.84</v>
      </c>
      <c r="F50" s="7">
        <v>0.16</v>
      </c>
      <c r="G50" s="8">
        <v>59.64</v>
      </c>
      <c r="H50" s="7">
        <v>4.12</v>
      </c>
    </row>
    <row r="51" spans="1:8">
      <c r="A51" s="8">
        <v>48</v>
      </c>
      <c r="B51" s="5" t="s">
        <v>167</v>
      </c>
      <c r="C51" s="6">
        <v>138</v>
      </c>
      <c r="D51" s="6">
        <v>197</v>
      </c>
      <c r="E51" s="8">
        <v>21315.05</v>
      </c>
      <c r="F51" s="7">
        <v>0.16</v>
      </c>
      <c r="G51" s="8">
        <v>108.2</v>
      </c>
      <c r="H51" s="7">
        <v>4.09</v>
      </c>
    </row>
    <row r="52" spans="1:8">
      <c r="A52" s="8">
        <v>49</v>
      </c>
      <c r="B52" s="5" t="s">
        <v>168</v>
      </c>
      <c r="C52" s="6">
        <v>90</v>
      </c>
      <c r="D52" s="6">
        <v>103</v>
      </c>
      <c r="E52" s="8">
        <v>19051.8</v>
      </c>
      <c r="F52" s="7">
        <v>0.14</v>
      </c>
      <c r="G52" s="8">
        <v>184.97</v>
      </c>
      <c r="H52" s="7">
        <v>4.25</v>
      </c>
    </row>
    <row r="53" spans="1:8">
      <c r="A53" s="8">
        <v>50</v>
      </c>
      <c r="B53" s="5" t="s">
        <v>169</v>
      </c>
      <c r="C53" s="6">
        <v>256</v>
      </c>
      <c r="D53" s="6">
        <v>263</v>
      </c>
      <c r="E53" s="8">
        <v>18702.23</v>
      </c>
      <c r="F53" s="7">
        <v>0.14</v>
      </c>
      <c r="G53" s="8">
        <v>71.11</v>
      </c>
      <c r="H53" s="7">
        <v>4.39</v>
      </c>
    </row>
    <row r="54" spans="1:8">
      <c r="A54" s="8">
        <v>51</v>
      </c>
      <c r="B54" s="5" t="s">
        <v>170</v>
      </c>
      <c r="C54" s="6">
        <v>97</v>
      </c>
      <c r="D54" s="6">
        <v>103</v>
      </c>
      <c r="E54" s="8">
        <v>15903.95</v>
      </c>
      <c r="F54" s="7">
        <v>0.12</v>
      </c>
      <c r="G54" s="8">
        <v>154.41</v>
      </c>
      <c r="H54" s="7">
        <v>4.44</v>
      </c>
    </row>
    <row r="55" spans="1:8">
      <c r="A55" s="8">
        <v>52</v>
      </c>
      <c r="B55" s="5" t="s">
        <v>171</v>
      </c>
      <c r="C55" s="6">
        <v>221</v>
      </c>
      <c r="D55" s="6">
        <v>269</v>
      </c>
      <c r="E55" s="8">
        <v>14942.88</v>
      </c>
      <c r="F55" s="7">
        <v>0.11</v>
      </c>
      <c r="G55" s="8">
        <v>55.55</v>
      </c>
      <c r="H55" s="7">
        <v>4.37</v>
      </c>
    </row>
    <row r="56" spans="1:8">
      <c r="A56" s="8">
        <v>53</v>
      </c>
      <c r="B56" s="5" t="s">
        <v>172</v>
      </c>
      <c r="C56" s="6">
        <v>106</v>
      </c>
      <c r="D56" s="6">
        <v>125</v>
      </c>
      <c r="E56" s="8">
        <v>10452.33</v>
      </c>
      <c r="F56" s="7">
        <v>0.08</v>
      </c>
      <c r="G56" s="8">
        <v>83.62</v>
      </c>
      <c r="H56" s="7">
        <v>3.76</v>
      </c>
    </row>
    <row r="57" spans="1:8">
      <c r="A57" s="8">
        <v>54</v>
      </c>
      <c r="B57" s="5" t="s">
        <v>173</v>
      </c>
      <c r="C57" s="6">
        <v>117</v>
      </c>
      <c r="D57" s="6">
        <v>127</v>
      </c>
      <c r="E57" s="8">
        <v>9305.95</v>
      </c>
      <c r="F57" s="7">
        <v>0.07</v>
      </c>
      <c r="G57" s="8">
        <v>73.28</v>
      </c>
      <c r="H57" s="7">
        <v>4.05</v>
      </c>
    </row>
    <row r="58" spans="1:8">
      <c r="A58" s="8">
        <v>55</v>
      </c>
      <c r="B58" s="5" t="s">
        <v>174</v>
      </c>
      <c r="C58" s="6">
        <v>125</v>
      </c>
      <c r="D58" s="6">
        <v>150</v>
      </c>
      <c r="E58" s="8">
        <v>8737.84</v>
      </c>
      <c r="F58" s="7">
        <v>0.07</v>
      </c>
      <c r="G58" s="8">
        <v>58.25</v>
      </c>
      <c r="H58" s="7">
        <v>4.07</v>
      </c>
    </row>
    <row r="59" spans="1:8">
      <c r="A59" s="8">
        <v>56</v>
      </c>
      <c r="B59" s="5" t="s">
        <v>175</v>
      </c>
      <c r="C59" s="6">
        <v>79</v>
      </c>
      <c r="D59" s="6">
        <v>83</v>
      </c>
      <c r="E59" s="8">
        <v>7528.41</v>
      </c>
      <c r="F59" s="7">
        <v>0.06</v>
      </c>
      <c r="G59" s="8">
        <v>90.7</v>
      </c>
      <c r="H59" s="7">
        <v>4.12</v>
      </c>
    </row>
    <row r="60" spans="1:8">
      <c r="A60" s="8">
        <v>57</v>
      </c>
      <c r="B60" s="5" t="s">
        <v>176</v>
      </c>
      <c r="C60" s="6">
        <v>63</v>
      </c>
      <c r="D60" s="6">
        <v>70</v>
      </c>
      <c r="E60" s="8">
        <v>6674.47</v>
      </c>
      <c r="F60" s="7">
        <v>0.05</v>
      </c>
      <c r="G60" s="8">
        <v>95.35</v>
      </c>
      <c r="H60" s="7">
        <v>4.29</v>
      </c>
    </row>
    <row r="61" spans="1:8">
      <c r="A61" s="8">
        <v>58</v>
      </c>
      <c r="B61" s="5" t="s">
        <v>177</v>
      </c>
      <c r="C61" s="6">
        <v>38</v>
      </c>
      <c r="D61" s="6">
        <v>38</v>
      </c>
      <c r="E61" s="8">
        <v>6034.35</v>
      </c>
      <c r="F61" s="7">
        <v>0.05</v>
      </c>
      <c r="G61" s="8">
        <v>158.8</v>
      </c>
      <c r="H61" s="7">
        <v>4.21</v>
      </c>
    </row>
    <row r="62" spans="1:8">
      <c r="A62" s="8">
        <v>59</v>
      </c>
      <c r="B62" s="5" t="s">
        <v>178</v>
      </c>
      <c r="C62" s="6">
        <v>56</v>
      </c>
      <c r="D62" s="6">
        <v>61</v>
      </c>
      <c r="E62" s="8">
        <v>4542.59</v>
      </c>
      <c r="F62" s="7">
        <v>0.03</v>
      </c>
      <c r="G62" s="8">
        <v>74.47</v>
      </c>
      <c r="H62" s="7">
        <v>4.18</v>
      </c>
    </row>
    <row r="63" spans="1:8">
      <c r="A63" s="8">
        <v>60</v>
      </c>
      <c r="B63" s="5" t="s">
        <v>179</v>
      </c>
      <c r="C63" s="6">
        <v>38</v>
      </c>
      <c r="D63" s="6">
        <v>42</v>
      </c>
      <c r="E63" s="8">
        <v>4465.19</v>
      </c>
      <c r="F63" s="7">
        <v>0.03</v>
      </c>
      <c r="G63" s="8">
        <v>106.31</v>
      </c>
      <c r="H63" s="7">
        <v>3.83</v>
      </c>
    </row>
    <row r="64" spans="1:8">
      <c r="A64" s="8">
        <v>61</v>
      </c>
      <c r="B64" s="5" t="s">
        <v>180</v>
      </c>
      <c r="C64" s="6">
        <v>50</v>
      </c>
      <c r="D64" s="6">
        <v>57</v>
      </c>
      <c r="E64" s="8">
        <v>4418.86</v>
      </c>
      <c r="F64" s="7">
        <v>0.03</v>
      </c>
      <c r="G64" s="8">
        <v>77.52</v>
      </c>
      <c r="H64" s="7">
        <v>4.51</v>
      </c>
    </row>
    <row r="65" spans="1:8">
      <c r="A65" s="8">
        <v>62</v>
      </c>
      <c r="B65" s="5" t="s">
        <v>181</v>
      </c>
      <c r="C65" s="6">
        <v>37</v>
      </c>
      <c r="D65" s="6">
        <v>37</v>
      </c>
      <c r="E65" s="8">
        <v>4323.38</v>
      </c>
      <c r="F65" s="7">
        <v>0.03</v>
      </c>
      <c r="G65" s="8">
        <v>116.85</v>
      </c>
      <c r="H65" s="7">
        <v>3.89</v>
      </c>
    </row>
    <row r="66" spans="1:8">
      <c r="A66" s="8">
        <v>63</v>
      </c>
      <c r="B66" s="5" t="s">
        <v>182</v>
      </c>
      <c r="C66" s="6">
        <v>13</v>
      </c>
      <c r="D66" s="6">
        <v>14</v>
      </c>
      <c r="E66" s="8">
        <v>3933.63</v>
      </c>
      <c r="F66" s="7">
        <v>0.03</v>
      </c>
      <c r="G66" s="8">
        <v>280.97</v>
      </c>
      <c r="H66" s="7">
        <v>3.43</v>
      </c>
    </row>
    <row r="67" spans="1:8">
      <c r="A67" s="8">
        <v>64</v>
      </c>
      <c r="B67" s="5" t="s">
        <v>183</v>
      </c>
      <c r="C67" s="6">
        <v>36</v>
      </c>
      <c r="D67" s="6">
        <v>45</v>
      </c>
      <c r="E67" s="8">
        <v>2634.94</v>
      </c>
      <c r="F67" s="7">
        <v>0.02</v>
      </c>
      <c r="G67" s="8">
        <v>58.55</v>
      </c>
      <c r="H67" s="7">
        <v>3.93</v>
      </c>
    </row>
    <row r="68" spans="1:8">
      <c r="A68" s="8">
        <v>65</v>
      </c>
      <c r="B68" s="5" t="s">
        <v>184</v>
      </c>
      <c r="C68" s="6">
        <v>26</v>
      </c>
      <c r="D68" s="6">
        <v>29</v>
      </c>
      <c r="E68" s="8">
        <v>2094.52</v>
      </c>
      <c r="F68" s="7">
        <v>0.02</v>
      </c>
      <c r="G68" s="8">
        <v>72.22</v>
      </c>
      <c r="H68" s="7">
        <v>4.34</v>
      </c>
    </row>
    <row r="69" spans="1:8">
      <c r="A69" s="8">
        <v>66</v>
      </c>
      <c r="B69" s="5" t="s">
        <v>185</v>
      </c>
      <c r="C69" s="6">
        <v>13</v>
      </c>
      <c r="D69" s="6">
        <v>14</v>
      </c>
      <c r="E69" s="8">
        <v>2054.99</v>
      </c>
      <c r="F69" s="7">
        <v>0.02</v>
      </c>
      <c r="G69" s="8">
        <v>146.79</v>
      </c>
      <c r="H69" s="7">
        <v>4</v>
      </c>
    </row>
    <row r="70" spans="1:8">
      <c r="A70" s="8">
        <v>67</v>
      </c>
      <c r="B70" s="5" t="s">
        <v>186</v>
      </c>
      <c r="C70" s="6">
        <v>23</v>
      </c>
      <c r="D70" s="6">
        <v>24</v>
      </c>
      <c r="E70" s="8">
        <v>1814.01</v>
      </c>
      <c r="F70" s="7">
        <v>0.01</v>
      </c>
      <c r="G70" s="8">
        <v>75.58</v>
      </c>
      <c r="H70" s="7">
        <v>4.13</v>
      </c>
    </row>
    <row r="71" spans="1:8">
      <c r="A71" s="8">
        <v>68</v>
      </c>
      <c r="B71" s="5" t="s">
        <v>187</v>
      </c>
      <c r="C71" s="6">
        <v>25</v>
      </c>
      <c r="D71" s="6">
        <v>37</v>
      </c>
      <c r="E71" s="8">
        <v>1500.79</v>
      </c>
      <c r="F71" s="7">
        <v>0.01</v>
      </c>
      <c r="G71" s="8">
        <v>40.56</v>
      </c>
      <c r="H71" s="7">
        <v>3.38</v>
      </c>
    </row>
    <row r="72" spans="1:8">
      <c r="A72" s="8">
        <v>69</v>
      </c>
      <c r="B72" s="5" t="s">
        <v>188</v>
      </c>
      <c r="C72" s="6">
        <v>7</v>
      </c>
      <c r="D72" s="6">
        <v>8</v>
      </c>
      <c r="E72" s="8">
        <v>1306.95</v>
      </c>
      <c r="F72" s="7">
        <v>0.01</v>
      </c>
      <c r="G72" s="8">
        <v>163.37</v>
      </c>
      <c r="H72" s="7">
        <v>3.63</v>
      </c>
    </row>
    <row r="73" spans="1:8">
      <c r="A73" s="8">
        <v>70</v>
      </c>
      <c r="B73" s="5" t="s">
        <v>189</v>
      </c>
      <c r="C73" s="6">
        <v>29</v>
      </c>
      <c r="D73" s="6">
        <v>33</v>
      </c>
      <c r="E73" s="8">
        <v>1110.04</v>
      </c>
      <c r="F73" s="7">
        <v>0.01</v>
      </c>
      <c r="G73" s="8">
        <v>33.64</v>
      </c>
      <c r="H73" s="7">
        <v>4.42</v>
      </c>
    </row>
    <row r="74" spans="1:8">
      <c r="A74" s="8">
        <v>71</v>
      </c>
      <c r="B74" s="5" t="s">
        <v>190</v>
      </c>
      <c r="C74" s="6">
        <v>24</v>
      </c>
      <c r="D74" s="6">
        <v>30</v>
      </c>
      <c r="E74" s="8">
        <v>760.27</v>
      </c>
      <c r="F74" s="7">
        <v>0.01</v>
      </c>
      <c r="G74" s="8">
        <v>25.34</v>
      </c>
      <c r="H74" s="7">
        <v>3.63</v>
      </c>
    </row>
    <row r="75" spans="1:8">
      <c r="A75" s="8">
        <v>72</v>
      </c>
      <c r="B75" s="5" t="s">
        <v>191</v>
      </c>
      <c r="C75" s="6">
        <v>12</v>
      </c>
      <c r="D75" s="6">
        <v>14</v>
      </c>
      <c r="E75" s="8">
        <v>730</v>
      </c>
      <c r="F75" s="7">
        <v>0.01</v>
      </c>
      <c r="G75" s="8">
        <v>52.14</v>
      </c>
      <c r="H75" s="7">
        <v>4.64</v>
      </c>
    </row>
    <row r="76" spans="1:8">
      <c r="A76" s="8">
        <v>73</v>
      </c>
      <c r="B76" s="5" t="s">
        <v>192</v>
      </c>
      <c r="C76" s="6">
        <v>7</v>
      </c>
      <c r="D76" s="6">
        <v>7</v>
      </c>
      <c r="E76" s="8">
        <v>519.95</v>
      </c>
      <c r="F76" s="7">
        <v>0</v>
      </c>
      <c r="G76" s="8">
        <v>74.28</v>
      </c>
      <c r="H76" s="7">
        <v>5</v>
      </c>
    </row>
    <row r="77" spans="1:8">
      <c r="A77" s="8">
        <v>74</v>
      </c>
      <c r="B77" s="5" t="s">
        <v>193</v>
      </c>
      <c r="C77" s="6">
        <v>2</v>
      </c>
      <c r="D77" s="6">
        <v>2</v>
      </c>
      <c r="E77" s="8">
        <v>283.29</v>
      </c>
      <c r="F77" s="7">
        <v>0</v>
      </c>
      <c r="G77" s="8">
        <v>141.65</v>
      </c>
      <c r="H77" s="7">
        <v>2.5</v>
      </c>
    </row>
  </sheetData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E77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42" customWidth="1"/>
    <col min="2" max="2" width="13" customWidth="1"/>
    <col min="3" max="3" width="12" customWidth="1"/>
    <col min="4" max="4" width="17" customWidth="1"/>
    <col min="5" max="5" width="12" customWidth="1"/>
  </cols>
  <sheetData>
    <row r="1" ht="16.5" spans="1:5">
      <c r="A1" s="1" t="s">
        <v>194</v>
      </c>
    </row>
    <row r="2" spans="1:5">
      <c r="A2" s="2" t="s">
        <v>195</v>
      </c>
    </row>
    <row r="3" ht="30" customHeight="1" spans="1:5">
      <c r="A3" s="3" t="s">
        <v>116</v>
      </c>
      <c r="B3" s="3" t="s">
        <v>90</v>
      </c>
      <c r="C3" s="3" t="s">
        <v>196</v>
      </c>
      <c r="D3" s="3" t="s">
        <v>197</v>
      </c>
      <c r="E3" s="3" t="s">
        <v>198</v>
      </c>
    </row>
    <row r="4" spans="1:5">
      <c r="A4" s="5" t="s">
        <v>120</v>
      </c>
      <c r="B4" s="8">
        <v>1233131.72</v>
      </c>
      <c r="C4" s="7">
        <v>9.33</v>
      </c>
      <c r="D4" s="7">
        <v>9.33</v>
      </c>
      <c r="E4" s="5" t="s">
        <v>199</v>
      </c>
    </row>
    <row r="5" spans="1:5">
      <c r="A5" s="5" t="s">
        <v>121</v>
      </c>
      <c r="B5" s="8">
        <v>1166176.98</v>
      </c>
      <c r="C5" s="7">
        <v>8.82</v>
      </c>
      <c r="D5" s="7">
        <v>18.15</v>
      </c>
      <c r="E5" s="5" t="s">
        <v>199</v>
      </c>
    </row>
    <row r="6" spans="1:5">
      <c r="A6" s="5" t="s">
        <v>122</v>
      </c>
      <c r="B6" s="8">
        <v>1023434.76</v>
      </c>
      <c r="C6" s="7">
        <v>7.74</v>
      </c>
      <c r="D6" s="7">
        <v>25.89</v>
      </c>
      <c r="E6" s="5" t="s">
        <v>199</v>
      </c>
    </row>
    <row r="7" spans="1:5">
      <c r="A7" s="5" t="s">
        <v>123</v>
      </c>
      <c r="B7" s="8">
        <v>954852.55</v>
      </c>
      <c r="C7" s="7">
        <v>7.22</v>
      </c>
      <c r="D7" s="7">
        <v>33.11</v>
      </c>
      <c r="E7" s="5" t="s">
        <v>199</v>
      </c>
    </row>
    <row r="8" spans="1:5">
      <c r="A8" s="5" t="s">
        <v>124</v>
      </c>
      <c r="B8" s="8">
        <v>888724.61</v>
      </c>
      <c r="C8" s="7">
        <v>6.72</v>
      </c>
      <c r="D8" s="7">
        <v>39.83</v>
      </c>
      <c r="E8" s="5" t="s">
        <v>199</v>
      </c>
    </row>
    <row r="9" spans="1:5">
      <c r="A9" s="5" t="s">
        <v>125</v>
      </c>
      <c r="B9" s="8">
        <v>711927.69</v>
      </c>
      <c r="C9" s="7">
        <v>5.38</v>
      </c>
      <c r="D9" s="7">
        <v>45.22</v>
      </c>
      <c r="E9" s="5" t="s">
        <v>199</v>
      </c>
    </row>
    <row r="10" spans="1:5">
      <c r="A10" s="5" t="s">
        <v>126</v>
      </c>
      <c r="B10" s="8">
        <v>615628.69</v>
      </c>
      <c r="C10" s="7">
        <v>4.66</v>
      </c>
      <c r="D10" s="7">
        <v>49.87</v>
      </c>
      <c r="E10" s="5" t="s">
        <v>199</v>
      </c>
    </row>
    <row r="11" spans="1:5">
      <c r="A11" s="5" t="s">
        <v>127</v>
      </c>
      <c r="B11" s="8">
        <v>610204.1</v>
      </c>
      <c r="C11" s="7">
        <v>4.62</v>
      </c>
      <c r="D11" s="7">
        <v>54.49</v>
      </c>
      <c r="E11" s="5" t="s">
        <v>199</v>
      </c>
    </row>
    <row r="12" spans="1:5">
      <c r="A12" s="5" t="s">
        <v>128</v>
      </c>
      <c r="B12" s="8">
        <v>578966.65</v>
      </c>
      <c r="C12" s="7">
        <v>4.38</v>
      </c>
      <c r="D12" s="7">
        <v>58.87</v>
      </c>
      <c r="E12" s="5" t="s">
        <v>199</v>
      </c>
    </row>
    <row r="13" spans="1:5">
      <c r="A13" s="5" t="s">
        <v>129</v>
      </c>
      <c r="B13" s="8">
        <v>471286.48</v>
      </c>
      <c r="C13" s="7">
        <v>3.56</v>
      </c>
      <c r="D13" s="7">
        <v>62.43</v>
      </c>
      <c r="E13" s="5" t="s">
        <v>199</v>
      </c>
    </row>
    <row r="14" spans="1:5">
      <c r="A14" s="5" t="s">
        <v>130</v>
      </c>
      <c r="B14" s="8">
        <v>470495.28</v>
      </c>
      <c r="C14" s="7">
        <v>3.56</v>
      </c>
      <c r="D14" s="7">
        <v>65.99</v>
      </c>
      <c r="E14" s="5" t="s">
   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69.02</v>
      </c>
      <c r="E15" s="5" t="s">
        <v>199</v>
      </c>
    </row>
    <row r="16" spans="1:5">
      <c r="A16" s="5" t="s">
        <v>132</v>
      </c>
      <c r="B16" s="8">
        <v>390144.65</v>
      </c>
      <c r="C16" s="7">
        <v>2.95</v>
      </c>
      <c r="D16" s="7">
        <v>71.97</v>
      </c>
      <c r="E16" s="5" t="s">
        <v>199</v>
      </c>
    </row>
    <row r="17" spans="1:5">
      <c r="A17" s="5" t="s">
        <v>133</v>
      </c>
      <c r="B17" s="8">
        <v>309860.23</v>
      </c>
      <c r="C17" s="7">
        <v>2.34</v>
      </c>
      <c r="D17" s="7">
        <v>74.31</v>
      </c>
      <c r="E17" s="5" t="s">
        <v>199</v>
      </c>
    </row>
    <row r="18" spans="1:5">
      <c r="A18" s="5" t="s">
        <v>134</v>
      </c>
      <c r="B18" s="8">
        <v>268154.31</v>
      </c>
      <c r="C18" s="7">
        <v>2.03</v>
      </c>
      <c r="D18" s="7">
        <v>76.34</v>
      </c>
      <c r="E18" s="5" t="s">
        <v>199</v>
      </c>
    </row>
    <row r="19" spans="1:5">
      <c r="A19" s="5" t="s">
        <v>135</v>
      </c>
      <c r="B19" s="8">
        <v>223788.69</v>
      </c>
      <c r="C19" s="7">
        <v>1.69</v>
      </c>
      <c r="D19" s="7">
        <v>78.03</v>
      </c>
      <c r="E19" s="5" t="s">
        <v>199</v>
      </c>
    </row>
    <row r="20" spans="1:5">
      <c r="A20" s="5" t="s">
        <v>136</v>
      </c>
      <c r="B20" s="8">
        <v>218684.14</v>
      </c>
      <c r="C20" s="7">
        <v>1.65</v>
      </c>
      <c r="D20" s="7">
        <v>79.69</v>
      </c>
      <c r="E20" s="5" t="s">
        <v>199</v>
      </c>
    </row>
    <row r="21" spans="1:5">
      <c r="A21" s="5" t="s">
        <v>137</v>
      </c>
      <c r="B21" s="8">
        <v>211695.64</v>
      </c>
      <c r="C21" s="7">
        <v>1.6</v>
      </c>
      <c r="D21" s="7">
        <v>81.29</v>
      </c>
      <c r="E21" s="5" t="s">
        <v>199</v>
      </c>
    </row>
    <row r="22" spans="1:5">
      <c r="A22" s="5" t="s">
        <v>138</v>
      </c>
      <c r="B22" s="8">
        <v>184315.74</v>
      </c>
      <c r="C22" s="7">
        <v>1.39</v>
      </c>
      <c r="D22" s="7">
        <v>82.68</v>
      </c>
      <c r="E22" s="5" t="s">
        <v>200</v>
      </c>
    </row>
    <row r="23" spans="1:5">
      <c r="A23" s="5" t="s">
        <v>139</v>
      </c>
      <c r="B23" s="8">
        <v>182754.12</v>
      </c>
      <c r="C23" s="7">
        <v>1.38</v>
      </c>
      <c r="D23" s="7">
        <v>84.06</v>
      </c>
      <c r="E23" s="5" t="s">
        <v>200</v>
      </c>
    </row>
    <row r="24" spans="1:5">
      <c r="A24" s="5" t="s">
        <v>140</v>
      </c>
      <c r="B24" s="8">
        <v>170726.63</v>
      </c>
      <c r="C24" s="7">
        <v>1.29</v>
      </c>
      <c r="D24" s="7">
        <v>85.36</v>
      </c>
      <c r="E24" s="5" t="s">
        <v>200</v>
      </c>
    </row>
    <row r="25" spans="1:5">
      <c r="A25" s="5" t="s">
        <v>141</v>
      </c>
      <c r="B25" s="8">
        <v>155043.93</v>
      </c>
      <c r="C25" s="7">
        <v>1.17</v>
      </c>
      <c r="D25" s="7">
        <v>86.53</v>
      </c>
      <c r="E25" s="5" t="s">
        <v>200</v>
      </c>
    </row>
    <row r="26" spans="1:5">
      <c r="A26" s="5" t="s">
        <v>142</v>
      </c>
      <c r="B26" s="8">
        <v>149329.39</v>
      </c>
      <c r="C26" s="7">
        <v>1.13</v>
      </c>
      <c r="D26" s="7">
        <v>87.66</v>
      </c>
      <c r="E26" s="5" t="s">
        <v>200</v>
      </c>
    </row>
    <row r="27" spans="1:5">
      <c r="A27" s="5" t="s">
        <v>143</v>
      </c>
      <c r="B27" s="8">
        <v>148003.37</v>
      </c>
      <c r="C27" s="7">
        <v>1.12</v>
      </c>
      <c r="D27" s="7">
        <v>88.78</v>
      </c>
      <c r="E27" s="5" t="s">
        <v>200</v>
      </c>
    </row>
    <row r="28" spans="1:5">
      <c r="A28" s="5" t="s">
        <v>144</v>
      </c>
      <c r="B28" s="8">
        <v>142108.49</v>
      </c>
      <c r="C28" s="7">
        <v>1.07</v>
      </c>
      <c r="D28" s="7">
        <v>89.85</v>
      </c>
      <c r="E28" s="5" t="s">
        <v>200</v>
      </c>
    </row>
    <row r="29" spans="1:5">
      <c r="A29" s="5" t="s">
        <v>145</v>
      </c>
      <c r="B29" s="8">
        <v>138701.63</v>
      </c>
      <c r="C29" s="7">
        <v>1.05</v>
      </c>
      <c r="D29" s="7">
        <v>90.9</v>
      </c>
      <c r="E29" s="5" t="s">
        <v>200</v>
      </c>
    </row>
    <row r="30" spans="1:5">
      <c r="A30" s="5" t="s">
        <v>146</v>
      </c>
      <c r="B30" s="8">
        <v>107953.95</v>
      </c>
      <c r="C30" s="7">
        <v>0.82</v>
      </c>
      <c r="D30" s="7">
        <v>91.72</v>
      </c>
      <c r="E30" s="5" t="s">
        <v>200</v>
      </c>
    </row>
    <row r="31" spans="1:5">
      <c r="A31" s="5" t="s">
        <v>147</v>
      </c>
      <c r="B31" s="8">
        <v>81407.57</v>
      </c>
      <c r="C31" s="7">
        <v>0.62</v>
      </c>
      <c r="D31" s="7">
        <v>92.33</v>
      </c>
      <c r="E31" s="5" t="s">
        <v>200</v>
      </c>
    </row>
    <row r="32" spans="1:5">
      <c r="A32" s="5" t="s">
        <v>148</v>
      </c>
      <c r="B32" s="8">
        <v>78832.48</v>
      </c>
      <c r="C32" s="7">
        <v>0.6</v>
      </c>
      <c r="D32" s="7">
        <v>92.93</v>
      </c>
      <c r="E32" s="5" t="s">
        <v>200</v>
      </c>
    </row>
    <row r="33" spans="1:5">
      <c r="A33" s="5" t="s">
        <v>149</v>
      </c>
      <c r="B33" s="8">
        <v>70566.1</v>
      </c>
      <c r="C33" s="7">
        <v>0.53</v>
      </c>
      <c r="D33" s="7">
        <v>93.46</v>
      </c>
      <c r="E33" s="5" t="s">
        <v>200</v>
      </c>
    </row>
    <row r="34" spans="1:5">
      <c r="A34" s="5" t="s">
        <v>150</v>
      </c>
      <c r="B34" s="8">
        <v>67350.7</v>
      </c>
      <c r="C34" s="7">
        <v>0.51</v>
      </c>
      <c r="D34" s="7">
        <v>93.97</v>
      </c>
      <c r="E34" s="5" t="s">
        <v>200</v>
      </c>
    </row>
    <row r="35" spans="1:5">
      <c r="A35" s="5" t="s">
        <v>151</v>
      </c>
      <c r="B35" s="8">
        <v>58008.45</v>
      </c>
      <c r="C35" s="7">
        <v>0.44</v>
      </c>
      <c r="D35" s="7">
        <v>94.41</v>
      </c>
      <c r="E35" s="5" t="s">
        <v>200</v>
      </c>
    </row>
    <row r="36" spans="1:5">
      <c r="A36" s="5" t="s">
        <v>152</v>
      </c>
      <c r="B36" s="8">
        <v>55315.21</v>
      </c>
      <c r="C36" s="7">
        <v>0.42</v>
      </c>
      <c r="D36" s="7">
        <v>94.83</v>
      </c>
      <c r="E36" s="5" t="s">
        <v>200</v>
      </c>
    </row>
    <row r="37" spans="1:5">
      <c r="A37" s="5" t="s">
        <v>153</v>
      </c>
      <c r="B37" s="8">
        <v>53323.56</v>
      </c>
      <c r="C37" s="7">
        <v>0.4</v>
      </c>
      <c r="D37" s="7">
        <v>95.23</v>
      </c>
      <c r="E37" s="5" t="s">
        <v>200</v>
      </c>
    </row>
    <row r="38" spans="1:5">
      <c r="A38" s="5" t="s">
        <v>154</v>
      </c>
      <c r="B38" s="8">
        <v>50570.6</v>
      </c>
      <c r="C38" s="7">
        <v>0.38</v>
      </c>
      <c r="D38" s="7">
        <v>95.62</v>
      </c>
      <c r="E38" s="5" t="s">
        <v>201</v>
      </c>
    </row>
    <row r="39" spans="1:5">
      <c r="A39" s="5" t="s">
        <v>155</v>
      </c>
      <c r="B39" s="8">
        <v>46589.56</v>
      </c>
      <c r="C39" s="7">
        <v>0.35</v>
      </c>
      <c r="D39" s="7">
        <v>95.97</v>
      </c>
      <c r="E39" s="5" t="s">
        <v>201</v>
      </c>
    </row>
    <row r="40" spans="1:5">
      <c r="A40" s="5" t="s">
        <v>156</v>
      </c>
      <c r="B40" s="8">
        <v>45531.98</v>
      </c>
      <c r="C40" s="7">
        <v>0.34</v>
      </c>
      <c r="D40" s="7">
        <v>96.31</v>
      </c>
      <c r="E40" s="5" t="s">
        <v>201</v>
      </c>
    </row>
    <row r="41" spans="1:5">
      <c r="A41" s="5" t="s">
        <v>157</v>
      </c>
      <c r="B41" s="8">
        <v>45302.15</v>
      </c>
      <c r="C41" s="7">
        <v>0.34</v>
      </c>
      <c r="D41" s="7">
        <v>96.66</v>
      </c>
      <c r="E41" s="5" t="s">
        <v>201</v>
      </c>
    </row>
    <row r="42" spans="1:5">
      <c r="A42" s="5" t="s">
        <v>158</v>
      </c>
      <c r="B42" s="8">
        <v>39957</v>
      </c>
      <c r="C42" s="7">
        <v>0.3</v>
      </c>
      <c r="D42" s="7">
        <v>96.96</v>
      </c>
      <c r="E42" s="5" t="s">
        <v>201</v>
      </c>
    </row>
    <row r="43" spans="1:5">
      <c r="A43" s="5" t="s">
        <v>159</v>
      </c>
      <c r="B43" s="8">
        <v>38773.22</v>
      </c>
      <c r="C43" s="7">
        <v>0.29</v>
      </c>
      <c r="D43" s="7">
        <v>97.25</v>
      </c>
      <c r="E43" s="5" t="s">
        <v>201</v>
      </c>
    </row>
    <row r="44" spans="1:5">
      <c r="A44" s="5" t="s">
        <v>160</v>
      </c>
      <c r="B44" s="8">
        <v>38498.81</v>
      </c>
      <c r="C44" s="7">
        <v>0.29</v>
      </c>
      <c r="D44" s="7">
        <v>97.54</v>
      </c>
      <c r="E44" s="5" t="s">
        <v>201</v>
      </c>
    </row>
    <row r="45" spans="1:5">
      <c r="A45" s="5" t="s">
        <v>161</v>
      </c>
      <c r="B45" s="8">
        <v>28731.15</v>
      </c>
      <c r="C45" s="7">
        <v>0.22</v>
      </c>
      <c r="D45" s="7">
        <v>97.76</v>
      </c>
      <c r="E45" s="5" t="s">
        <v>201</v>
      </c>
    </row>
    <row r="46" spans="1:5">
      <c r="A46" s="5" t="s">
        <v>162</v>
      </c>
      <c r="B46" s="8">
        <v>27795.77</v>
      </c>
      <c r="C46" s="7">
        <v>0.21</v>
      </c>
      <c r="D46" s="7">
        <v>97.97</v>
      </c>
      <c r="E46" s="5" t="s">
        <v>201</v>
      </c>
    </row>
    <row r="47" spans="1:5">
      <c r="A47" s="5" t="s">
        <v>163</v>
      </c>
      <c r="B47" s="8">
        <v>25096.28</v>
      </c>
      <c r="C47" s="7">
        <v>0.19</v>
      </c>
      <c r="D47" s="7">
        <v>98.16</v>
      </c>
      <c r="E47" s="5" t="s">
        <v>201</v>
      </c>
    </row>
    <row r="48" spans="1:5">
      <c r="A48" s="5" t="s">
        <v>164</v>
      </c>
      <c r="B48" s="8">
        <v>23657.3</v>
      </c>
      <c r="C48" s="7">
        <v>0.18</v>
      </c>
      <c r="D48" s="7">
        <v>98.34</v>
      </c>
      <c r="E48" s="5" t="s">
        <v>201</v>
      </c>
    </row>
    <row r="49" spans="1:5">
      <c r="A49" s="5" t="s">
        <v>165</v>
      </c>
      <c r="B49" s="8">
        <v>23001.46</v>
      </c>
      <c r="C49" s="7">
        <v>0.17</v>
      </c>
      <c r="D49" s="7">
        <v>98.51</v>
      </c>
      <c r="E49" s="5" t="s">
        <v>201</v>
      </c>
    </row>
    <row r="50" spans="1:5">
      <c r="A50" s="5" t="s">
        <v>166</v>
      </c>
      <c r="B50" s="8">
        <v>21529.84</v>
      </c>
      <c r="C50" s="7">
        <v>0.16</v>
      </c>
      <c r="D50" s="7">
        <v>98.68</v>
      </c>
      <c r="E50" s="5" t="s">
        <v>201</v>
      </c>
    </row>
    <row r="51" spans="1:5">
      <c r="A51" s="5" t="s">
        <v>167</v>
      </c>
      <c r="B51" s="8">
        <v>21315.05</v>
      </c>
      <c r="C51" s="7">
        <v>0.16</v>
      </c>
      <c r="D51" s="7">
        <v>98.84</v>
      </c>
      <c r="E51" s="5" t="s">
        <v>201</v>
      </c>
    </row>
    <row r="52" spans="1:5">
      <c r="A52" s="5" t="s">
        <v>168</v>
      </c>
      <c r="B52" s="8">
        <v>19051.8</v>
      </c>
      <c r="C52" s="7">
        <v>0.14</v>
      </c>
      <c r="D52" s="7">
        <v>98.98</v>
      </c>
      <c r="E52" s="5" t="s">
        <v>201</v>
      </c>
    </row>
    <row r="53" spans="1:5">
      <c r="A53" s="5" t="s">
        <v>169</v>
      </c>
      <c r="B53" s="8">
        <v>18702.23</v>
      </c>
      <c r="C53" s="7">
        <v>0.14</v>
      </c>
      <c r="D53" s="7">
        <v>99.12</v>
      </c>
      <c r="E53" s="5" t="s">
        <v>201</v>
      </c>
    </row>
    <row r="54" spans="1:5">
      <c r="A54" s="5" t="s">
        <v>170</v>
      </c>
      <c r="B54" s="8">
        <v>15903.95</v>
      </c>
      <c r="C54" s="7">
        <v>0.12</v>
      </c>
      <c r="D54" s="7">
        <v>99.24</v>
      </c>
      <c r="E54" s="5" t="s">
        <v>201</v>
      </c>
    </row>
    <row r="55" spans="1:5">
      <c r="A55" s="5" t="s">
        <v>171</v>
      </c>
      <c r="B55" s="8">
        <v>14942.88</v>
      </c>
      <c r="C55" s="7">
        <v>0.11</v>
      </c>
      <c r="D55" s="7">
        <v>99.36</v>
      </c>
      <c r="E55" s="5" t="s">
        <v>201</v>
      </c>
    </row>
    <row r="56" spans="1:5">
      <c r="A56" s="5" t="s">
        <v>172</v>
      </c>
      <c r="B56" s="8">
        <v>10452.33</v>
      </c>
      <c r="C56" s="7">
        <v>0.08</v>
      </c>
      <c r="D56" s="7">
        <v>99.43</v>
      </c>
      <c r="E56" s="5" t="s">
        <v>201</v>
      </c>
    </row>
    <row r="57" spans="1:5">
      <c r="A57" s="5" t="s">
        <v>173</v>
      </c>
      <c r="B57" s="8">
        <v>9305.95</v>
      </c>
      <c r="C57" s="7">
        <v>0.07</v>
      </c>
      <c r="D57" s="7">
        <v>99.5</v>
      </c>
      <c r="E57" s="5" t="s">
        <v>201</v>
      </c>
    </row>
    <row r="58" spans="1:5">
      <c r="A58" s="5" t="s">
        <v>174</v>
      </c>
      <c r="B58" s="8">
        <v>8737.84</v>
      </c>
      <c r="C58" s="7">
        <v>0.07</v>
      </c>
      <c r="D58" s="7">
        <v>99.57</v>
      </c>
      <c r="E58" s="5" t="s">
        <v>201</v>
      </c>
    </row>
    <row r="59" spans="1:5">
      <c r="A59" s="5" t="s">
        <v>175</v>
      </c>
      <c r="B59" s="8">
        <v>7528.41</v>
      </c>
      <c r="C59" s="7">
        <v>0.06</v>
      </c>
      <c r="D59" s="7">
        <v>99.63</v>
      </c>
      <c r="E59" s="5" t="s">
        <v>201</v>
      </c>
    </row>
    <row r="60" spans="1:5">
      <c r="A60" s="5" t="s">
        <v>176</v>
      </c>
      <c r="B60" s="8">
        <v>6674.47</v>
      </c>
      <c r="C60" s="7">
        <v>0.05</v>
      </c>
      <c r="D60" s="7">
        <v>99.68</v>
      </c>
      <c r="E60" s="5" t="s">
        <v>201</v>
      </c>
    </row>
    <row r="61" spans="1:5">
      <c r="A61" s="5" t="s">
        <v>177</v>
      </c>
      <c r="B61" s="8">
        <v>6034.35</v>
      </c>
      <c r="C61" s="7">
        <v>0.05</v>
      </c>
      <c r="D61" s="7">
        <v>99.72</v>
      </c>
      <c r="E61" s="5" t="s">
        <v>201</v>
      </c>
    </row>
    <row r="62" spans="1:5">
      <c r="A62" s="5" t="s">
        <v>178</v>
      </c>
      <c r="B62" s="8">
        <v>4542.59</v>
      </c>
      <c r="C62" s="7">
        <v>0.03</v>
      </c>
      <c r="D62" s="7">
        <v>99.76</v>
      </c>
      <c r="E62" s="5" t="s">
        <v>201</v>
      </c>
    </row>
    <row r="63" spans="1:5">
      <c r="A63" s="5" t="s">
        <v>179</v>
      </c>
      <c r="B63" s="8">
        <v>4465.19</v>
      </c>
      <c r="C63" s="7">
        <v>0.03</v>
      </c>
      <c r="D63" s="7">
        <v>99.79</v>
      </c>
      <c r="E63" s="5" t="s">
        <v>201</v>
      </c>
    </row>
    <row r="64" spans="1:5">
      <c r="A64" s="5" t="s">
        <v>180</v>
      </c>
      <c r="B64" s="8">
        <v>4418.86</v>
      </c>
      <c r="C64" s="7">
        <v>0.03</v>
      </c>
      <c r="D64" s="7">
        <v>99.83</v>
      </c>
      <c r="E64" s="5" t="s">
        <v>201</v>
      </c>
    </row>
    <row r="65" spans="1:5">
      <c r="A65" s="5" t="s">
        <v>181</v>
      </c>
      <c r="B65" s="8">
        <v>4323.38</v>
      </c>
      <c r="C65" s="7">
        <v>0.03</v>
      </c>
      <c r="D65" s="7">
        <v>99.86</v>
      </c>
      <c r="E65" s="5" t="s">
        <v>201</v>
      </c>
    </row>
    <row r="66" spans="1:5">
      <c r="A66" s="5" t="s">
        <v>182</v>
      </c>
      <c r="B66" s="8">
        <v>3933.63</v>
      </c>
      <c r="C66" s="7">
        <v>0.03</v>
      </c>
      <c r="D66" s="7">
        <v>99.89</v>
      </c>
      <c r="E66" s="5" t="s">
        <v>201</v>
      </c>
    </row>
    <row r="67" spans="1:5">
      <c r="A67" s="5" t="s">
        <v>183</v>
      </c>
      <c r="B67" s="8">
        <v>2634.94</v>
      </c>
      <c r="C67" s="7">
        <v>0.02</v>
      </c>
      <c r="D67" s="7">
        <v>99.91</v>
      </c>
      <c r="E67" s="5" t="s">
        <v>201</v>
      </c>
    </row>
    <row r="68" spans="1:5">
      <c r="A68" s="5" t="s">
        <v>184</v>
      </c>
      <c r="B68" s="8">
        <v>2094.52</v>
      </c>
      <c r="C68" s="7">
        <v>0.02</v>
      </c>
      <c r="D68" s="7">
        <v>99.92</v>
      </c>
      <c r="E68" s="5" t="s">
        <v>201</v>
      </c>
    </row>
    <row r="69" spans="1:5">
      <c r="A69" s="5" t="s">
        <v>185</v>
      </c>
      <c r="B69" s="8">
        <v>2054.99</v>
      </c>
      <c r="C69" s="7">
        <v>0.02</v>
      </c>
      <c r="D69" s="7">
        <v>99.94</v>
      </c>
      <c r="E69" s="5" t="s">
        <v>201</v>
      </c>
    </row>
    <row r="70" spans="1:5">
      <c r="A70" s="5" t="s">
        <v>186</v>
      </c>
      <c r="B70" s="8">
        <v>1814.01</v>
      </c>
      <c r="C70" s="7">
        <v>0.01</v>
      </c>
      <c r="D70" s="7">
        <v>99.95</v>
      </c>
      <c r="E70" s="5" t="s">
        <v>201</v>
      </c>
    </row>
    <row r="71" spans="1:5">
      <c r="A71" s="5" t="s">
        <v>187</v>
      </c>
      <c r="B71" s="8">
        <v>1500.79</v>
      </c>
      <c r="C71" s="7">
        <v>0.01</v>
      </c>
      <c r="D71" s="7">
        <v>99.96</v>
      </c>
      <c r="E71" s="5" t="s">
        <v>201</v>
      </c>
    </row>
    <row r="72" spans="1:5">
      <c r="A72" s="5" t="s">
        <v>188</v>
      </c>
      <c r="B72" s="8">
        <v>1306.95</v>
      </c>
      <c r="C72" s="7">
        <v>0.01</v>
      </c>
      <c r="D72" s="7">
        <v>99.97</v>
      </c>
      <c r="E72" s="5" t="s">
        <v>201</v>
      </c>
    </row>
    <row r="73" spans="1:5">
      <c r="A73" s="5" t="s">
        <v>189</v>
      </c>
      <c r="B73" s="8">
        <v>1110.04</v>
      </c>
      <c r="C73" s="7">
        <v>0.01</v>
      </c>
      <c r="D73" s="7">
        <v>99.98</v>
      </c>
      <c r="E73" s="5" t="s">
        <v>201</v>
      </c>
    </row>
    <row r="74" spans="1:5">
      <c r="A74" s="5" t="s">
        <v>190</v>
      </c>
      <c r="B74" s="8">
        <v>760.27</v>
      </c>
      <c r="C74" s="7">
        <v>0.01</v>
      </c>
      <c r="D74" s="7">
        <v>99.99</v>
      </c>
      <c r="E74" s="5" t="s">
        <v>201</v>
      </c>
    </row>
    <row r="75" spans="1:5">
      <c r="A75" s="5" t="s">
        <v>191</v>
      </c>
      <c r="B75" s="8">
        <v>730</v>
      </c>
      <c r="C75" s="7">
        <v>0.01</v>
      </c>
      <c r="D75" s="7">
        <v>99.99</v>
      </c>
      <c r="E75" s="5" t="s">
        <v>201</v>
      </c>
    </row>
    <row r="76" spans="1:5">
      <c r="A76" s="5" t="s">
        <v>192</v>
      </c>
      <c r="B76" s="8">
        <v>519.95</v>
      </c>
      <c r="C76" s="7">
        <v>0</v>
      </c>
      <c r="D76" s="7">
        <v>100</v>
      </c>
      <c r="E76" s="5" t="s">
        <v>201</v>
      </c>
    </row>
    <row r="77" spans="1:5">
      <c r="A77" s="5" t="s">
        <v>193</v>
      </c>
      <c r="B77" s="8">
        <v>283.29</v>
      </c>
      <c r="C77" s="7">
        <v>0</v>
      </c>
      <c r="D77" s="7">
        <v>100</v>
      </c>
      <c r="E77" s="5" t="s">
        <v>201</v>
      </c>
    </row>
  </sheetData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L30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/>
  <cols>
    <col min="1" max="1" width="17" customWidth="1"/>
    <col min="2" max="3" width="12" customWidth="1"/>
    <col min="4" max="4" width="13" customWidth="1"/>
    <col min="5" max="5" width="18" customWidth="1"/>
    <col min="6" max="6" width="25" customWidth="1"/>
    <col min="7" max="8" width="20" customWidth="1"/>
    <col min="9" max="9" width="19" customWidth="1"/>
    <col min="11" max="11" width="12" customWidth="1"/>
    <col min="12" max="12" width="18" customWidth="1"/>
  </cols>
  <sheetData>
    <row r="1" ht="16.5" spans="1:12">
      <c r="A1" s="1" t="s">
        <v>202</v>
      </c>
      <c r="K1" s="10" t="s">
        <v>203</v>
      </c>
    </row>
    <row r="2" spans="1:12">
      <c r="A2" s="2" t="s">
        <v>204</v>
      </c>
    </row>
    <row r="3" ht="30" customHeight="1" spans="1:12">
      <c r="A3" s="3" t="s">
        <v>205</v>
      </c>
      <c r="B3" s="3" t="s">
        <v>77</v>
      </c>
      <c r="C3" s="3" t="s">
        <v>206</v>
      </c>
      <c r="D3" s="3" t="s">
        <v>90</v>
      </c>
      <c r="E3" s="3" t="s">
        <v>69</v>
      </c>
      <c r="F3" s="3" t="s">
        <v>207</v>
      </c>
      <c r="G3" s="3" t="s">
        <v>70</v>
      </c>
      <c r="H3" s="3" t="s">
        <v>72</v>
      </c>
      <c r="I3" s="3" t="s">
        <v>73</v>
      </c>
      <c r="K3" s="4" t="s">
        <v>208</v>
      </c>
      <c r="L3" s="4" t="s">
        <v>72</v>
      </c>
    </row>
    <row r="4" spans="1:12">
      <c r="A4" s="5" t="s">
        <v>209</v>
      </c>
      <c r="B4" s="6">
        <v>40501</v>
      </c>
      <c r="C4" s="6">
        <v>39156</v>
      </c>
      <c r="D4" s="8">
        <v>5067633.16</v>
      </c>
      <c r="E4" s="8">
        <v>125.12</v>
      </c>
      <c r="F4" s="7">
        <v>13.85</v>
      </c>
      <c r="G4" s="7">
        <v>8.7</v>
      </c>
      <c r="H4" s="7">
        <v>4.49</v>
      </c>
      <c r="I4" s="7">
        <v>4.25</v>
      </c>
      <c r="K4" s="5" t="str">
        <f>A18</f>
        <v>MA</v>
      </c>
      <c r="L4" s="7">
        <f>H18</f>
        <v>17.43</v>
      </c>
    </row>
    <row r="5" spans="1:12">
      <c r="A5" s="5" t="s">
        <v>210</v>
      </c>
      <c r="B5" s="6">
        <v>12350</v>
      </c>
      <c r="C5" s="6">
        <v>11917</v>
      </c>
      <c r="D5" s="8">
        <v>1759651.13</v>
      </c>
      <c r="E5" s="8">
        <v>142.48</v>
      </c>
      <c r="F5" s="7">
        <v>16.81</v>
      </c>
      <c r="G5" s="7">
        <v>15.2</v>
      </c>
      <c r="H5" s="7">
        <v>12.11</v>
      </c>
      <c r="I5" s="7">
        <v>3.97</v>
      </c>
      <c r="K5" s="5" t="str">
        <f>A15</f>
        <v>CE</v>
      </c>
      <c r="L5" s="7">
        <f>H15</f>
        <v>13.76</v>
      </c>
    </row>
    <row r="6" spans="1:12">
      <c r="A6" s="5" t="s">
        <v>211</v>
      </c>
      <c r="B6" s="6">
        <v>11354</v>
      </c>
      <c r="C6" s="6">
        <v>11001</v>
      </c>
      <c r="D6" s="8">
        <v>1552481.83</v>
      </c>
      <c r="E6" s="8">
        <v>136.73</v>
      </c>
      <c r="F6" s="7">
        <v>17.16</v>
      </c>
      <c r="G6" s="7">
        <v>11.9</v>
      </c>
      <c r="H6" s="7">
        <v>4.57</v>
      </c>
      <c r="I6" s="7">
        <v>4.19</v>
      </c>
      <c r="K6" s="5" t="str">
        <f>A10</f>
        <v>BA</v>
      </c>
      <c r="L6" s="7">
        <f>H10</f>
        <v>12.16</v>
      </c>
    </row>
    <row r="7" spans="1:12">
      <c r="A7" s="5" t="s">
        <v>212</v>
      </c>
      <c r="B7" s="6">
        <v>5345</v>
      </c>
      <c r="C7" s="6">
        <v>5168</v>
      </c>
      <c r="D7" s="8">
        <v>728897.47</v>
      </c>
      <c r="E7" s="8">
        <v>136.37</v>
      </c>
      <c r="F7" s="7">
        <v>18.19</v>
      </c>
      <c r="G7" s="7">
        <v>15.2</v>
      </c>
      <c r="H7" s="7">
        <v>6.08</v>
      </c>
      <c r="I7" s="7">
        <v>4.19</v>
      </c>
      <c r="K7" s="5" t="str">
        <f>A5</f>
        <v>RJ</v>
      </c>
      <c r="L7" s="7">
        <f>H5</f>
        <v>12.11</v>
      </c>
    </row>
    <row r="8" spans="1:12">
      <c r="A8" s="5" t="s">
        <v>213</v>
      </c>
      <c r="B8" s="6">
        <v>4923</v>
      </c>
      <c r="C8" s="6">
        <v>4769</v>
      </c>
      <c r="D8" s="8">
        <v>666063.51</v>
      </c>
      <c r="E8" s="8">
        <v>135.3</v>
      </c>
      <c r="F8" s="7">
        <v>17.36</v>
      </c>
      <c r="G8" s="7">
        <v>11.9</v>
      </c>
      <c r="H8" s="7">
        <v>4.04</v>
      </c>
      <c r="I8" s="7">
        <v>4.24</v>
      </c>
      <c r="K8" s="5" t="str">
        <f>A16</f>
        <v>PA</v>
      </c>
      <c r="L8" s="7">
        <f>H16</f>
        <v>11.21</v>
      </c>
    </row>
    <row r="9" spans="1:12">
      <c r="A9" s="5" t="s">
        <v>214</v>
      </c>
      <c r="B9" s="6">
        <v>3546</v>
      </c>
      <c r="C9" s="6">
        <v>3449</v>
      </c>
      <c r="D9" s="8">
        <v>507012.13</v>
      </c>
      <c r="E9" s="8">
        <v>142.98</v>
      </c>
      <c r="F9" s="7">
        <v>17.38</v>
      </c>
      <c r="G9" s="7">
        <v>14.9</v>
      </c>
      <c r="H9" s="7">
        <v>8.21</v>
      </c>
      <c r="I9" s="7">
        <v>4.13</v>
      </c>
      <c r="K9" s="5" t="str">
        <f>A13</f>
        <v>ES</v>
      </c>
      <c r="L9" s="7">
        <f>H13</f>
        <v>10.73</v>
      </c>
    </row>
    <row r="10" spans="1:12">
      <c r="A10" s="5" t="s">
        <v>215</v>
      </c>
      <c r="B10" s="6">
        <v>3256</v>
      </c>
      <c r="C10" s="6">
        <v>3158</v>
      </c>
      <c r="D10" s="8">
        <v>493584.14</v>
      </c>
      <c r="E10" s="8">
        <v>151.59</v>
      </c>
      <c r="F10" s="7">
        <v>19.76</v>
      </c>
      <c r="G10" s="7">
        <v>19.3</v>
      </c>
      <c r="H10" s="7">
        <v>12.16</v>
      </c>
      <c r="I10" s="7">
        <v>3.93</v>
      </c>
      <c r="K10" s="5" t="str">
        <f>A20</f>
        <v>PB</v>
      </c>
      <c r="L10" s="7">
        <f>H20</f>
        <v>10.44</v>
      </c>
    </row>
    <row r="11" spans="1:12">
      <c r="A11" s="5" t="s">
        <v>216</v>
      </c>
      <c r="B11" s="6">
        <v>2080</v>
      </c>
      <c r="C11" s="6">
        <v>2019</v>
      </c>
      <c r="D11" s="8">
        <v>296498.41</v>
      </c>
      <c r="E11" s="8">
        <v>142.55</v>
      </c>
      <c r="F11" s="7">
        <v>16.74</v>
      </c>
      <c r="G11" s="7">
        <v>12.9</v>
      </c>
      <c r="H11" s="7">
        <v>5.67</v>
      </c>
      <c r="I11" s="7">
        <v>4.13</v>
      </c>
      <c r="K11" s="5" t="str">
        <f>A19</f>
        <v>MS</v>
      </c>
      <c r="L11" s="7">
        <f>H19</f>
        <v>9.7</v>
      </c>
    </row>
    <row r="12" spans="1:12">
      <c r="A12" s="5" t="s">
        <v>217</v>
      </c>
      <c r="B12" s="6">
        <v>1957</v>
      </c>
      <c r="C12" s="6">
        <v>1895</v>
      </c>
      <c r="D12" s="8">
        <v>282836.7</v>
      </c>
      <c r="E12" s="8">
        <v>144.53</v>
      </c>
      <c r="F12" s="7">
        <v>18.16</v>
      </c>
      <c r="G12" s="7">
        <v>15.5</v>
      </c>
      <c r="H12" s="7">
        <v>6.54</v>
      </c>
      <c r="I12" s="7">
        <v>4.1</v>
      </c>
      <c r="K12" s="5" t="str">
        <f>A14</f>
        <v>PE</v>
      </c>
      <c r="L12" s="7">
        <f>H14</f>
        <v>9.6</v>
      </c>
    </row>
    <row r="13" spans="1:12">
      <c r="A13" s="5" t="s">
        <v>218</v>
      </c>
      <c r="B13" s="6">
        <v>1995</v>
      </c>
      <c r="C13" s="6">
        <v>1928</v>
      </c>
      <c r="D13" s="8">
        <v>268643.45</v>
      </c>
      <c r="E13" s="8">
        <v>134.66</v>
      </c>
      <c r="F13" s="7">
        <v>18.25</v>
      </c>
      <c r="G13" s="7">
        <v>15.7</v>
      </c>
      <c r="H13" s="7">
        <v>10.73</v>
      </c>
      <c r="I13" s="7">
        <v>4.08</v>
      </c>
      <c r="K13" s="5" t="str">
        <f>A9</f>
        <v>SC</v>
      </c>
      <c r="L13" s="7">
        <f>H9</f>
        <v>8.21</v>
      </c>
    </row>
    <row r="14" spans="1:12">
      <c r="A14" s="5" t="s">
        <v>219</v>
      </c>
      <c r="B14" s="6">
        <v>1593</v>
      </c>
      <c r="C14" s="6">
        <v>1551</v>
      </c>
      <c r="D14" s="8">
        <v>251889.49</v>
      </c>
      <c r="E14" s="8">
        <v>158.12</v>
      </c>
      <c r="F14" s="7">
        <v>22.66</v>
      </c>
      <c r="G14" s="7">
        <v>18.4</v>
      </c>
      <c r="H14" s="7">
        <v>9.6</v>
      </c>
      <c r="I14" s="7">
        <v>4.08</v>
      </c>
    </row>
    <row r="15" spans="1:12">
      <c r="A15" s="5" t="s">
        <v>220</v>
      </c>
      <c r="B15" s="6">
        <v>1279</v>
      </c>
      <c r="C15" s="6">
        <v>1258</v>
      </c>
      <c r="D15" s="8">
        <v>219757.38</v>
      </c>
      <c r="E15" s="8">
        <v>171.82</v>
      </c>
      <c r="F15" s="7">
        <v>21.24</v>
      </c>
      <c r="G15" s="7">
        <v>21.2</v>
      </c>
      <c r="H15" s="7">
        <v>13.76</v>
      </c>
      <c r="I15" s="7">
        <v>3.94</v>
      </c>
    </row>
    <row r="16" spans="1:12">
      <c r="A16" s="5" t="s">
        <v>221</v>
      </c>
      <c r="B16" s="6">
        <v>946</v>
      </c>
      <c r="C16" s="6">
        <v>922</v>
      </c>
      <c r="D16" s="8">
        <v>174470.59</v>
      </c>
      <c r="E16" s="8">
        <v>184.43</v>
      </c>
      <c r="F16" s="7">
        <v>21.52</v>
      </c>
      <c r="G16" s="7">
        <v>23.7</v>
      </c>
      <c r="H16" s="7">
        <v>11.21</v>
      </c>
      <c r="I16" s="7">
        <v>3.91</v>
      </c>
    </row>
    <row r="17" spans="1:9">
      <c r="A17" s="5" t="s">
        <v>222</v>
      </c>
      <c r="B17" s="6">
        <v>886</v>
      </c>
      <c r="C17" s="6">
        <v>856</v>
      </c>
      <c r="D17" s="8">
        <v>152191.62</v>
      </c>
      <c r="E17" s="8">
        <v>171.77</v>
      </c>
      <c r="F17" s="7">
        <v>19.08</v>
      </c>
      <c r="G17" s="7">
        <v>18</v>
      </c>
      <c r="H17" s="7">
        <v>5.98</v>
      </c>
      <c r="I17" s="7">
        <v>4.15</v>
      </c>
    </row>
    <row r="18" spans="1:9">
      <c r="A18" s="5" t="s">
        <v>223</v>
      </c>
      <c r="B18" s="6">
        <v>717</v>
      </c>
      <c r="C18" s="6">
        <v>700</v>
      </c>
      <c r="D18" s="8">
        <v>117009.38</v>
      </c>
      <c r="E18" s="8">
        <v>163.19</v>
      </c>
      <c r="F18" s="7">
        <v>26.32</v>
      </c>
      <c r="G18" s="7">
        <v>21.5</v>
      </c>
      <c r="H18" s="7">
        <v>17.43</v>
      </c>
      <c r="I18" s="7">
        <v>3.83</v>
      </c>
    </row>
    <row r="19" spans="1:9">
      <c r="A19" s="5" t="s">
        <v>224</v>
      </c>
      <c r="B19" s="6">
        <v>701</v>
      </c>
      <c r="C19" s="6">
        <v>681</v>
      </c>
      <c r="D19" s="8">
        <v>115429.97</v>
      </c>
      <c r="E19" s="8">
        <v>164.66</v>
      </c>
      <c r="F19" s="7">
        <v>16.41</v>
      </c>
      <c r="G19" s="7">
        <v>15.5</v>
      </c>
      <c r="H19" s="7">
        <v>9.7</v>
      </c>
      <c r="I19" s="7">
        <v>4.16</v>
      </c>
    </row>
    <row r="20" spans="1:9">
      <c r="A20" s="5" t="s">
        <v>225</v>
      </c>
      <c r="B20" s="6">
        <v>517</v>
      </c>
      <c r="C20" s="6">
        <v>504</v>
      </c>
      <c r="D20" s="8">
        <v>112586.82</v>
      </c>
      <c r="E20" s="8">
        <v>217.77</v>
      </c>
      <c r="F20" s="7">
        <v>22.43</v>
      </c>
      <c r="G20" s="7">
        <v>20.4</v>
      </c>
      <c r="H20" s="7">
        <v>10.44</v>
      </c>
      <c r="I20" s="7">
        <v>4.08</v>
      </c>
    </row>
    <row r="21" spans="1:9">
      <c r="A21" s="5" t="s">
        <v>226</v>
      </c>
      <c r="B21" s="6">
        <v>476</v>
      </c>
      <c r="C21" s="6">
        <v>464</v>
      </c>
      <c r="D21" s="8">
        <v>84721</v>
      </c>
      <c r="E21" s="8">
        <v>177.99</v>
      </c>
      <c r="F21" s="7">
        <v>24.15</v>
      </c>
      <c r="G21" s="7">
        <v>19.4</v>
      </c>
      <c r="H21" s="7">
        <v>13.87</v>
      </c>
      <c r="I21" s="7">
        <v>3.99</v>
      </c>
    </row>
    <row r="22" spans="1:9">
      <c r="A22" s="5" t="s">
        <v>227</v>
      </c>
      <c r="B22" s="6">
        <v>474</v>
      </c>
      <c r="C22" s="6">
        <v>464</v>
      </c>
      <c r="D22" s="8">
        <v>82105.66</v>
      </c>
      <c r="E22" s="8">
        <v>173.22</v>
      </c>
      <c r="F22" s="7">
        <v>22.66</v>
      </c>
      <c r="G22" s="7">
        <v>19.2</v>
      </c>
      <c r="H22" s="7">
        <v>9.28</v>
      </c>
      <c r="I22" s="7">
        <v>4.15</v>
      </c>
    </row>
    <row r="23" spans="1:9">
      <c r="A23" s="5" t="s">
        <v>228</v>
      </c>
      <c r="B23" s="6">
        <v>397</v>
      </c>
      <c r="C23" s="6">
        <v>387</v>
      </c>
      <c r="D23" s="8">
        <v>78855.72</v>
      </c>
      <c r="E23" s="8">
        <v>198.63</v>
      </c>
      <c r="F23" s="7">
        <v>19.42</v>
      </c>
      <c r="G23" s="7">
        <v>24.5</v>
      </c>
      <c r="H23" s="7">
        <v>21.41</v>
      </c>
      <c r="I23" s="7">
        <v>3.85</v>
      </c>
    </row>
    <row r="24" spans="1:9">
      <c r="A24" s="5" t="s">
        <v>229</v>
      </c>
      <c r="B24" s="6">
        <v>335</v>
      </c>
      <c r="C24" s="6">
        <v>329</v>
      </c>
      <c r="D24" s="8">
        <v>56574.19</v>
      </c>
      <c r="E24" s="8">
        <v>168.88</v>
      </c>
      <c r="F24" s="7">
        <v>24.24</v>
      </c>
      <c r="G24" s="7">
        <v>21.5</v>
      </c>
      <c r="H24" s="7">
        <v>15.22</v>
      </c>
      <c r="I24" s="7">
        <v>3.91</v>
      </c>
    </row>
    <row r="25" spans="1:9">
      <c r="A25" s="5" t="s">
        <v>230</v>
      </c>
      <c r="B25" s="6">
        <v>274</v>
      </c>
      <c r="C25" s="6">
        <v>267</v>
      </c>
      <c r="D25" s="8">
        <v>48402.51</v>
      </c>
      <c r="E25" s="8">
        <v>176.65</v>
      </c>
      <c r="F25" s="7">
        <v>23.98</v>
      </c>
      <c r="G25" s="7">
        <v>17.6</v>
      </c>
      <c r="H25" s="7">
        <v>9.85</v>
      </c>
      <c r="I25" s="7">
        <v>4.15</v>
      </c>
    </row>
    <row r="26" spans="1:9">
      <c r="A26" s="5" t="s">
        <v>231</v>
      </c>
      <c r="B26" s="6">
        <v>243</v>
      </c>
      <c r="C26" s="6">
        <v>231</v>
      </c>
      <c r="D26" s="8">
        <v>45682.76</v>
      </c>
      <c r="E26" s="8">
        <v>187.99</v>
      </c>
      <c r="F26" s="7">
        <v>24.7</v>
      </c>
      <c r="G26" s="7">
        <v>19.3</v>
      </c>
      <c r="H26" s="7">
        <v>2.88</v>
      </c>
      <c r="I26" s="7">
        <v>4.17</v>
      </c>
    </row>
    <row r="27" spans="1:9">
      <c r="A27" s="5" t="s">
        <v>232</v>
      </c>
      <c r="B27" s="6">
        <v>145</v>
      </c>
      <c r="C27" s="6">
        <v>140</v>
      </c>
      <c r="D27" s="8">
        <v>22155.84</v>
      </c>
      <c r="E27" s="8">
        <v>152.8</v>
      </c>
      <c r="F27" s="7">
        <v>24.51</v>
      </c>
      <c r="G27" s="7">
        <v>26.4</v>
      </c>
      <c r="H27" s="7">
        <v>2.76</v>
      </c>
      <c r="I27" s="7">
        <v>4.24</v>
      </c>
    </row>
    <row r="28" spans="1:9">
      <c r="A28" s="5" t="s">
        <v>233</v>
      </c>
      <c r="B28" s="6">
        <v>80</v>
      </c>
      <c r="C28" s="6">
        <v>76</v>
      </c>
      <c r="D28" s="8">
        <v>15930.97</v>
      </c>
      <c r="E28" s="8">
        <v>199.14</v>
      </c>
      <c r="F28" s="7">
        <v>22.88</v>
      </c>
      <c r="G28" s="7">
        <v>21</v>
      </c>
      <c r="H28" s="7">
        <v>3.75</v>
      </c>
      <c r="I28" s="7">
        <v>4.09</v>
      </c>
    </row>
    <row r="29" spans="1:9">
      <c r="A29" s="5" t="s">
        <v>234</v>
      </c>
      <c r="B29" s="6">
        <v>67</v>
      </c>
      <c r="C29" s="6">
        <v>66</v>
      </c>
      <c r="D29" s="8">
        <v>13374.81</v>
      </c>
      <c r="E29" s="8">
        <v>199.62</v>
      </c>
      <c r="F29" s="7">
        <v>20.69</v>
      </c>
      <c r="G29" s="7">
        <v>27.2</v>
      </c>
      <c r="H29" s="7">
        <v>2.99</v>
      </c>
      <c r="I29" s="7">
        <v>4.24</v>
      </c>
    </row>
    <row r="30" spans="1:9">
      <c r="A30" s="5" t="s">
        <v>235</v>
      </c>
      <c r="B30" s="6">
        <v>41</v>
      </c>
      <c r="C30" s="6">
        <v>40</v>
      </c>
      <c r="D30" s="8">
        <v>7057.47</v>
      </c>
      <c r="E30" s="8">
        <v>172.13</v>
      </c>
      <c r="F30" s="7">
        <v>28.08</v>
      </c>
      <c r="G30" s="7">
        <v>29.3</v>
      </c>
      <c r="H30" s="7">
        <v>12.2</v>
      </c>
      <c r="I30" s="7">
        <v>3.9</v>
      </c>
    </row>
  </sheetData>
  <conditionalFormatting sqref="H4:H30">
    <cfRule type="colorScale" priority="1">
      <colorScale>
        <cfvo type="min"/>
        <cfvo type="max"/>
        <color rgb="FFFFFFFF"/>
        <color rgb="FFF4B183"/>
      </colorScale>
    </cfRule>
  </conditionalFormatting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E7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Row="6" outlineLevelCol="4"/>
  <cols>
    <col min="1" max="1" width="15" customWidth="1"/>
    <col min="2" max="2" width="12" customWidth="1"/>
    <col min="3" max="3" width="14" customWidth="1"/>
    <col min="4" max="4" width="18" customWidth="1"/>
    <col min="5" max="5" width="20" customWidth="1"/>
  </cols>
  <sheetData>
    <row r="1" ht="16.5" spans="1:5">
      <c r="A1" s="1" t="s">
        <v>236</v>
      </c>
    </row>
    <row r="2" spans="1:5">
      <c r="A2" s="2" t="s">
        <v>237</v>
      </c>
    </row>
    <row r="3" ht="30" customHeight="1" spans="1:5">
      <c r="A3" s="3" t="s">
        <v>238</v>
      </c>
      <c r="B3" s="3" t="s">
        <v>77</v>
      </c>
      <c r="C3" s="3" t="s">
        <v>239</v>
      </c>
      <c r="D3" s="3" t="s">
        <v>240</v>
      </c>
      <c r="E3" s="3" t="s">
        <v>241</v>
      </c>
    </row>
    <row r="4" spans="1:5">
      <c r="A4" s="5" t="s">
        <v>242</v>
      </c>
      <c r="B4" s="6">
        <v>74304</v>
      </c>
      <c r="C4" s="8">
        <v>12101094.88</v>
      </c>
      <c r="D4" s="7">
        <v>78.46</v>
      </c>
      <c r="E4" s="8">
        <v>162.24</v>
      </c>
    </row>
    <row r="5" spans="1:5">
      <c r="A5" s="5" t="s">
        <v>243</v>
      </c>
      <c r="B5" s="6">
        <v>19191</v>
      </c>
      <c r="C5" s="8">
        <v>2769932.58</v>
      </c>
      <c r="D5" s="7">
        <v>17.96</v>
      </c>
      <c r="E5" s="8">
        <v>144.33</v>
      </c>
    </row>
    <row r="6" spans="1:5">
      <c r="A6" s="5" t="s">
        <v>244</v>
      </c>
      <c r="B6" s="6">
        <v>3679</v>
      </c>
      <c r="C6" s="8">
        <v>343013.19</v>
      </c>
      <c r="D6" s="7">
        <v>2.22</v>
      </c>
      <c r="E6" s="8">
        <v>62.45</v>
      </c>
    </row>
    <row r="7" spans="1:5">
      <c r="A7" s="5" t="s">
        <v>245</v>
      </c>
      <c r="B7" s="6">
        <v>1485</v>
      </c>
      <c r="C7" s="8">
        <v>208421.12</v>
      </c>
      <c r="D7" s="7">
        <v>1.35</v>
      </c>
      <c r="E7" s="8">
        <v>140.26</v>
      </c>
    </row>
  </sheetData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C8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Row="7" outlineLevelCol="2"/>
  <cols>
    <col min="1" max="1" width="20" customWidth="1"/>
    <col min="2" max="2" width="12" customWidth="1"/>
    <col min="3" max="3" width="20" customWidth="1"/>
  </cols>
  <sheetData>
    <row r="1" ht="16.5" spans="1:3">
      <c r="A1" s="1" t="s">
        <v>246</v>
      </c>
    </row>
    <row r="2" spans="1:3">
      <c r="A2" s="2" t="s">
        <v>247</v>
      </c>
    </row>
    <row r="3" ht="30" customHeight="1" spans="1:3">
      <c r="A3" s="3" t="s">
        <v>248</v>
      </c>
      <c r="B3" s="3" t="s">
        <v>249</v>
      </c>
      <c r="C3" s="3" t="s">
        <v>241</v>
      </c>
    </row>
    <row r="4" spans="1:3">
      <c r="A4" s="5" t="s">
        <v>250</v>
      </c>
      <c r="B4" s="6">
        <v>24761</v>
      </c>
      <c r="C4" s="8">
        <v>95.6</v>
      </c>
    </row>
    <row r="5" spans="1:3">
      <c r="A5" s="5" t="s">
        <v>251</v>
      </c>
      <c r="B5" s="6">
        <v>22239</v>
      </c>
      <c r="C5" s="8">
        <v>133.63</v>
      </c>
    </row>
    <row r="6" spans="1:3">
      <c r="A6" s="5" t="s">
        <v>252</v>
      </c>
      <c r="B6" s="6">
        <v>15790</v>
      </c>
      <c r="C6" s="8">
        <v>180.48</v>
      </c>
    </row>
    <row r="7" spans="1:3">
      <c r="A7" s="5" t="s">
        <v>253</v>
      </c>
      <c r="B7" s="6">
        <v>11467</v>
      </c>
      <c r="C7" s="8">
        <v>330.87</v>
      </c>
    </row>
    <row r="8" spans="1:3">
      <c r="A8" s="5" t="s">
        <v>254</v>
      </c>
      <c r="B8" s="6">
        <v>329</v>
      </c>
      <c r="C8" s="8">
        <v>359.4</v>
      </c>
    </row>
  </sheetData>
  <pageMargins left="0.75" right="0.75" top="1" bottom="1" header="0.5" footer="0.5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E26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17" customWidth="1"/>
    <col min="2" max="2" width="19" customWidth="1"/>
    <col min="3" max="3" width="20" customWidth="1"/>
    <col min="4" max="4" width="21" customWidth="1"/>
    <col min="5" max="5" width="20" customWidth="1"/>
  </cols>
  <sheetData>
    <row r="1" ht="16.5" spans="1:5">
      <c r="A1" s="1" t="s">
        <v>255</v>
      </c>
    </row>
    <row r="2" spans="1:5">
      <c r="A2" s="2" t="s">
        <v>256</v>
      </c>
    </row>
    <row r="3" ht="30" customHeight="1" spans="1:5">
      <c r="A3" s="3" t="s">
        <v>89</v>
      </c>
      <c r="B3" s="3" t="s">
        <v>65</v>
      </c>
      <c r="C3" s="3" t="s">
        <v>70</v>
      </c>
      <c r="D3" s="3" t="s">
        <v>71</v>
      </c>
      <c r="E3" s="3" t="s">
        <v>72</v>
      </c>
    </row>
    <row r="4" spans="1:5">
      <c r="A4" s="5" t="s">
        <v>93</v>
      </c>
      <c r="B4" s="6">
        <v>1</v>
      </c>
      <c r="C4" s="7">
        <v>55</v>
      </c>
      <c r="D4" s="7">
        <v>19</v>
      </c>
      <c r="E4" s="7">
        <v>100</v>
      </c>
    </row>
    <row r="5" spans="1:5">
      <c r="A5" s="5" t="s">
        <v>94</v>
      </c>
      <c r="B5" s="6">
        <v>265</v>
      </c>
      <c r="C5" s="7">
        <v>19.6</v>
      </c>
      <c r="D5" s="7">
        <v>56.3</v>
      </c>
      <c r="E5" s="7">
        <v>0.75</v>
      </c>
    </row>
    <row r="6" spans="1:5">
      <c r="A6" s="5" t="s">
        <v>95</v>
      </c>
      <c r="B6" s="6">
        <v>1</v>
      </c>
      <c r="C6" s="7">
        <v>5</v>
      </c>
      <c r="D6" s="7">
        <v>27</v>
      </c>
      <c r="E6" s="7">
        <v>0</v>
      </c>
    </row>
    <row r="7" spans="1:5">
      <c r="A7" s="5" t="s">
        <v>21</v>
      </c>
      <c r="B7" s="6">
        <v>750</v>
      </c>
      <c r="C7" s="7">
        <v>12.8</v>
      </c>
      <c r="D7" s="7">
        <v>40.2</v>
      </c>
      <c r="E7" s="7">
        <v>2.93</v>
      </c>
    </row>
    <row r="8" spans="1:5">
      <c r="A8" s="5" t="s">
        <v>22</v>
      </c>
      <c r="B8" s="6">
        <v>1653</v>
      </c>
      <c r="C8" s="7">
        <v>13.3</v>
      </c>
      <c r="D8" s="7">
        <v>32.5</v>
      </c>
      <c r="E8" s="7">
        <v>2.96</v>
      </c>
    </row>
    <row r="9" spans="1:5">
      <c r="A9" s="5" t="s">
        <v>23</v>
      </c>
      <c r="B9" s="6">
        <v>2546</v>
      </c>
      <c r="C9" s="7">
        <v>13</v>
      </c>
      <c r="D9" s="7">
        <v>25.4</v>
      </c>
      <c r="E9" s="7">
        <v>4.56</v>
      </c>
    </row>
    <row r="10" spans="1:5">
      <c r="A10" s="5" t="s">
        <v>24</v>
      </c>
      <c r="B10" s="6">
        <v>2303</v>
      </c>
      <c r="C10" s="7">
        <v>15</v>
      </c>
      <c r="D10" s="7">
        <v>28</v>
      </c>
      <c r="E10" s="7">
        <v>6.56</v>
      </c>
    </row>
    <row r="11" spans="1:5">
      <c r="A11" s="5" t="s">
        <v>25</v>
      </c>
      <c r="B11" s="6">
        <v>3545</v>
      </c>
      <c r="C11" s="7">
        <v>11.4</v>
      </c>
      <c r="D11" s="7">
        <v>24.9</v>
      </c>
      <c r="E11" s="7">
        <v>2.99</v>
      </c>
    </row>
    <row r="12" spans="1:5">
      <c r="A12" s="5" t="s">
        <v>26</v>
      </c>
      <c r="B12" s="6">
        <v>3135</v>
      </c>
      <c r="C12" s="7">
        <v>12</v>
      </c>
      <c r="D12" s="7">
        <v>24.7</v>
      </c>
      <c r="E12" s="7">
        <v>3.03</v>
      </c>
    </row>
    <row r="13" spans="1:5">
      <c r="A13" s="5" t="s">
        <v>27</v>
      </c>
      <c r="B13" s="6">
        <v>3872</v>
      </c>
      <c r="C13" s="7">
        <v>11.5</v>
      </c>
      <c r="D13" s="7">
        <v>24</v>
      </c>
      <c r="E13" s="7">
        <v>2.79</v>
      </c>
    </row>
    <row r="14" spans="1:5">
      <c r="A14" s="5" t="s">
        <v>28</v>
      </c>
      <c r="B14" s="6">
        <v>4193</v>
      </c>
      <c r="C14" s="7">
        <v>11</v>
      </c>
      <c r="D14" s="7">
        <v>24.1</v>
      </c>
      <c r="E14" s="7">
        <v>2.91</v>
      </c>
    </row>
    <row r="15" spans="1:5">
      <c r="A15" s="5" t="s">
        <v>29</v>
      </c>
      <c r="B15" s="6">
        <v>4150</v>
      </c>
      <c r="C15" s="7">
        <v>11.7</v>
      </c>
      <c r="D15" s="7">
        <v>23.1</v>
      </c>
      <c r="E15" s="7">
        <v>4.39</v>
      </c>
    </row>
    <row r="16" spans="1:5">
      <c r="A16" s="5" t="s">
        <v>30</v>
      </c>
      <c r="B16" s="6">
        <v>4478</v>
      </c>
      <c r="C16" s="7">
        <v>11.7</v>
      </c>
      <c r="D16" s="7">
        <v>23.7</v>
      </c>
      <c r="E16" s="7">
        <v>4.18</v>
      </c>
    </row>
    <row r="17" spans="1:5">
      <c r="A17" s="5" t="s">
        <v>31</v>
      </c>
      <c r="B17" s="6">
        <v>7288</v>
      </c>
      <c r="C17" s="7">
        <v>15.1</v>
      </c>
      <c r="D17" s="7">
        <v>23.2</v>
      </c>
      <c r="E17" s="7">
        <v>12.4</v>
      </c>
    </row>
    <row r="18" spans="1:5">
      <c r="A18" s="5" t="s">
        <v>32</v>
      </c>
      <c r="B18" s="6">
        <v>5513</v>
      </c>
      <c r="C18" s="7">
        <v>15.3</v>
      </c>
      <c r="D18" s="7">
        <v>28.3</v>
      </c>
      <c r="E18" s="7">
        <v>7.46</v>
      </c>
    </row>
    <row r="19" spans="1:5">
      <c r="A19" s="5" t="s">
        <v>33</v>
      </c>
      <c r="B19" s="6">
        <v>7069</v>
      </c>
      <c r="C19" s="7">
        <v>14</v>
      </c>
      <c r="D19" s="7">
        <v>26.9</v>
      </c>
      <c r="E19" s="7">
        <v>5.7</v>
      </c>
    </row>
    <row r="20" spans="1:5">
      <c r="A20" s="5" t="s">
        <v>34</v>
      </c>
      <c r="B20" s="6">
        <v>6555</v>
      </c>
      <c r="C20" s="7">
        <v>16.9</v>
      </c>
      <c r="D20" s="7">
        <v>25.2</v>
      </c>
      <c r="E20" s="7">
        <v>14.13</v>
      </c>
    </row>
    <row r="21" spans="1:5">
      <c r="A21" s="5" t="s">
        <v>35</v>
      </c>
      <c r="B21" s="6">
        <v>7003</v>
      </c>
      <c r="C21" s="7">
        <v>16.2</v>
      </c>
      <c r="D21" s="7">
        <v>22.7</v>
      </c>
      <c r="E21" s="7">
        <v>18.96</v>
      </c>
    </row>
    <row r="22" spans="1:5">
      <c r="A22" s="5" t="s">
        <v>36</v>
      </c>
      <c r="B22" s="6">
        <v>6798</v>
      </c>
      <c r="C22" s="7">
        <v>11.4</v>
      </c>
      <c r="D22" s="7">
        <v>24.3</v>
      </c>
      <c r="E22" s="7">
        <v>4.5</v>
      </c>
    </row>
    <row r="23" spans="1:5">
      <c r="A23" s="5" t="s">
        <v>37</v>
      </c>
      <c r="B23" s="6">
        <v>6749</v>
      </c>
      <c r="C23" s="7">
        <v>11.3</v>
      </c>
      <c r="D23" s="7">
        <v>23.5</v>
      </c>
      <c r="E23" s="7">
        <v>6.56</v>
      </c>
    </row>
    <row r="24" spans="1:5">
      <c r="A24" s="5" t="s">
        <v>38</v>
      </c>
      <c r="B24" s="6">
        <v>6096</v>
      </c>
      <c r="C24" s="7">
        <v>9.2</v>
      </c>
      <c r="D24" s="7">
        <v>28.4</v>
      </c>
      <c r="E24" s="7">
        <v>1.16</v>
      </c>
    </row>
    <row r="25" spans="1:5">
      <c r="A25" s="5" t="s">
        <v>39</v>
      </c>
      <c r="B25" s="6">
        <v>6156</v>
      </c>
      <c r="C25" s="7">
        <v>8.9</v>
      </c>
      <c r="D25" s="7">
        <v>20.3</v>
      </c>
      <c r="E25" s="7">
        <v>3.38</v>
      </c>
    </row>
    <row r="26" spans="1:5">
      <c r="A26" s="5" t="s">
        <v>40</v>
      </c>
      <c r="B26" s="6">
        <v>6351</v>
      </c>
      <c r="C26" s="7">
        <v>7.7</v>
      </c>
      <c r="D26" s="7">
        <v>15.8</v>
      </c>
      <c r="E26" s="7">
        <v>6.19</v>
      </c>
    </row>
  </sheetData>
  <pageMargins left="0.75" right="0.75" top="1" bottom="1" header="0.5" footer="0.5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E5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Row="4" outlineLevelCol="4"/>
  <cols>
    <col min="1" max="1" width="19" customWidth="1"/>
    <col min="2" max="2" width="12" customWidth="1"/>
    <col min="3" max="3" width="19" customWidth="1"/>
    <col min="4" max="4" width="23" customWidth="1"/>
    <col min="5" max="5" width="20" customWidth="1"/>
  </cols>
  <sheetData>
    <row r="1" ht="16.5" spans="1:5">
      <c r="A1" s="1" t="s">
        <v>257</v>
      </c>
    </row>
    <row r="2" spans="1:5">
      <c r="A2" s="2" t="s">
        <v>258</v>
      </c>
    </row>
    <row r="3" ht="30" customHeight="1" spans="1:5">
      <c r="A3" s="3" t="s">
        <v>259</v>
      </c>
      <c r="B3" s="3" t="s">
        <v>77</v>
      </c>
      <c r="C3" s="3" t="s">
        <v>73</v>
      </c>
      <c r="D3" s="3" t="s">
        <v>260</v>
      </c>
      <c r="E3" s="3" t="s">
        <v>70</v>
      </c>
    </row>
    <row r="4" spans="1:5">
      <c r="A4" s="5" t="s">
        <v>261</v>
      </c>
      <c r="B4" s="6">
        <v>89936</v>
      </c>
      <c r="C4" s="7">
        <v>4.29</v>
      </c>
      <c r="D4" s="7">
        <v>9.23</v>
      </c>
      <c r="E4" s="7">
        <v>10.9</v>
      </c>
    </row>
    <row r="5" spans="1:5">
      <c r="A5" s="5" t="s">
        <v>262</v>
      </c>
      <c r="B5" s="6">
        <v>6534</v>
      </c>
      <c r="C5" s="7">
        <v>2.27</v>
      </c>
      <c r="D5" s="7">
        <v>62.36</v>
      </c>
      <c r="E5" s="7">
        <v>33.9</v>
      </c>
    </row>
  </sheetData>
  <pageMargins left="0.75" right="0.75" top="1" bottom="1" header="0.5" footer="0.5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H9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7"/>
  <cols>
    <col min="1" max="1" width="12" customWidth="1"/>
    <col min="2" max="2" width="42" customWidth="1"/>
    <col min="3" max="3" width="12" customWidth="1"/>
    <col min="4" max="4" width="19" customWidth="1"/>
    <col min="5" max="5" width="23" customWidth="1"/>
    <col min="8" max="8" width="24" customWidth="1"/>
  </cols>
  <sheetData>
    <row r="1" ht="16.5" spans="1:8">
      <c r="A1" s="1" t="s">
        <v>263</v>
      </c>
    </row>
    <row r="2" spans="1:8">
      <c r="A2" s="2" t="s">
        <v>264</v>
      </c>
    </row>
    <row r="3" ht="30" customHeight="1" spans="1:8">
      <c r="A3" s="3" t="s">
        <v>265</v>
      </c>
      <c r="B3" s="3" t="s">
        <v>266</v>
      </c>
      <c r="C3" s="3" t="s">
        <v>77</v>
      </c>
      <c r="D3" s="3" t="s">
        <v>73</v>
      </c>
      <c r="E3" s="3" t="s">
        <v>260</v>
      </c>
      <c r="H3" s="4" t="s">
        <v>267</v>
      </c>
    </row>
    <row r="4" spans="1:8">
      <c r="A4" s="9">
        <v>1</v>
      </c>
      <c r="B4" s="5" t="s">
        <v>268</v>
      </c>
      <c r="C4" s="6">
        <v>71303</v>
      </c>
      <c r="D4" s="7">
        <v>4.32</v>
      </c>
      <c r="E4" s="7">
        <v>8.94</v>
      </c>
      <c r="H4" s="5" t="str">
        <f t="shared" ref="H4:H9" si="0">MID(B4,4,FIND(" (",B4&amp;" (")-4)</f>
        <v>Very early</v>
      </c>
    </row>
    <row r="5" spans="1:8">
      <c r="A5" s="9">
        <v>2</v>
      </c>
      <c r="B5" s="5" t="s">
        <v>269</v>
      </c>
      <c r="C5" s="6">
        <v>17341</v>
      </c>
      <c r="D5" s="7">
        <v>4.2</v>
      </c>
      <c r="E5" s="7">
        <v>10.21</v>
      </c>
      <c r="H5" s="5" t="str">
        <f t="shared" si="0"/>
        <v>Early</v>
      </c>
    </row>
    <row r="6" spans="1:8">
      <c r="A6" s="9">
        <v>3</v>
      </c>
      <c r="B6" s="5" t="s">
        <v>270</v>
      </c>
      <c r="C6" s="6">
        <v>1292</v>
      </c>
      <c r="D6" s="7">
        <v>4.04</v>
      </c>
      <c r="E6" s="7">
        <v>12.27</v>
      </c>
      <c r="H6" s="5" t="str">
        <f t="shared" si="0"/>
        <v>On the estimated date</v>
      </c>
    </row>
    <row r="7" spans="1:8">
      <c r="A7" s="9">
        <v>4</v>
      </c>
      <c r="B7" s="5" t="s">
        <v>271</v>
      </c>
      <c r="C7" s="6">
        <v>1870</v>
      </c>
      <c r="D7" s="7">
        <v>3.29</v>
      </c>
      <c r="E7" s="7">
        <v>32.18</v>
      </c>
      <c r="H7" s="5" t="str">
        <f t="shared" si="0"/>
        <v>Late 1-3 days</v>
      </c>
    </row>
    <row r="8" spans="1:8">
      <c r="A8" s="9">
        <v>5</v>
      </c>
      <c r="B8" s="5" t="s">
        <v>272</v>
      </c>
      <c r="C8" s="6">
        <v>1802</v>
      </c>
      <c r="D8" s="7">
        <v>2.11</v>
      </c>
      <c r="E8" s="7">
        <v>67.56</v>
      </c>
      <c r="H8" s="5" t="str">
        <f t="shared" si="0"/>
        <v>Late 4-7 days</v>
      </c>
    </row>
    <row r="9" spans="1:8">
      <c r="A9" s="9">
        <v>6</v>
      </c>
      <c r="B9" s="5" t="s">
        <v>273</v>
      </c>
      <c r="C9" s="6">
        <v>2862</v>
      </c>
      <c r="D9" s="7">
        <v>1.7</v>
      </c>
      <c r="E9" s="7">
        <v>79.18</v>
      </c>
      <c r="H9" s="5" t="str">
        <f t="shared" si="0"/>
        <v>Late 8+ days</v>
      </c>
    </row>
  </sheetData>
  <pageMargins left="0.75" right="0.75" top="1" bottom="1" header="0.5" footer="0.5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F13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35" customWidth="1"/>
    <col min="2" max="2" width="15" customWidth="1"/>
    <col min="3" max="4" width="12" customWidth="1"/>
    <col min="5" max="5" width="19" customWidth="1"/>
    <col min="6" max="6" width="16" customWidth="1"/>
  </cols>
  <sheetData>
    <row r="1" ht="16.5" spans="1:6">
      <c r="A1" s="1" t="s">
        <v>274</v>
      </c>
    </row>
    <row r="2" spans="1:6">
      <c r="A2" s="2" t="s">
        <v>275</v>
      </c>
    </row>
    <row r="3" ht="30" customHeight="1" spans="1:6">
      <c r="A3" s="3" t="s">
        <v>276</v>
      </c>
      <c r="B3" s="3" t="s">
        <v>277</v>
      </c>
      <c r="C3" s="3" t="s">
        <v>77</v>
      </c>
      <c r="D3" s="3" t="s">
        <v>90</v>
      </c>
      <c r="E3" s="3" t="s">
        <v>73</v>
      </c>
      <c r="F3" s="3" t="s">
        <v>278</v>
      </c>
    </row>
    <row r="4" spans="1:6">
      <c r="A4" s="5" t="s">
        <v>279</v>
      </c>
      <c r="B4" s="5" t="s">
        <v>209</v>
      </c>
      <c r="C4" s="6">
        <v>1124</v>
      </c>
      <c r="D4" s="8">
        <v>226987.93</v>
      </c>
      <c r="E4" s="7">
        <v>4.14</v>
      </c>
      <c r="F4" s="7">
        <v>10.54</v>
      </c>
    </row>
    <row r="5" spans="1:6">
      <c r="A5" s="5" t="s">
        <v>280</v>
      </c>
      <c r="B5" s="5" t="s">
        <v>215</v>
      </c>
      <c r="C5" s="6">
        <v>348</v>
      </c>
      <c r="D5" s="8">
        <v>217940.44</v>
      </c>
      <c r="E5" s="7">
        <v>4.13</v>
      </c>
      <c r="F5" s="7">
        <v>3</v>
      </c>
    </row>
    <row r="6" spans="1:6">
      <c r="A6" s="5" t="s">
        <v>281</v>
      </c>
      <c r="B6" s="5" t="s">
        <v>209</v>
      </c>
      <c r="C6" s="6">
        <v>1772</v>
      </c>
      <c r="D6" s="8">
        <v>196882.12</v>
      </c>
      <c r="E6" s="7">
        <v>3.83</v>
      </c>
      <c r="F6" s="7">
        <v>9.7</v>
      </c>
    </row>
    <row r="7" spans="1:6">
      <c r="A7" s="5" t="s">
        <v>282</v>
      </c>
      <c r="B7" s="5" t="s">
        <v>209</v>
      </c>
      <c r="C7" s="6">
        <v>578</v>
      </c>
      <c r="D7" s="8">
        <v>190917.14</v>
      </c>
      <c r="E7" s="7">
        <v>4.37</v>
      </c>
      <c r="F7" s="7">
        <v>9.15</v>
      </c>
    </row>
    <row r="8" spans="1:6">
      <c r="A8" s="5" t="s">
        <v>283</v>
      </c>
      <c r="B8" s="5" t="s">
        <v>209</v>
      </c>
      <c r="C8" s="6">
        <v>973</v>
      </c>
      <c r="D8" s="8">
        <v>186570.05</v>
      </c>
      <c r="E8" s="7">
        <v>3.35</v>
      </c>
      <c r="F8" s="7">
        <v>8.86</v>
      </c>
    </row>
    <row r="9" spans="1:6">
      <c r="A9" s="5" t="s">
        <v>284</v>
      </c>
      <c r="B9" s="5" t="s">
        <v>209</v>
      </c>
      <c r="C9" s="6">
        <v>319</v>
      </c>
      <c r="D9" s="8">
        <v>165981.49</v>
      </c>
      <c r="E9" s="7">
        <v>4.36</v>
      </c>
      <c r="F9" s="7">
        <v>4.66</v>
      </c>
    </row>
    <row r="10" spans="1:6">
      <c r="A10" s="5" t="s">
        <v>285</v>
      </c>
      <c r="B10" s="5" t="s">
        <v>209</v>
      </c>
      <c r="C10" s="6">
        <v>1311</v>
      </c>
      <c r="D10" s="8">
        <v>159816.87</v>
      </c>
      <c r="E10" s="7">
        <v>4.07</v>
      </c>
      <c r="F10" s="7">
        <v>6.4</v>
      </c>
    </row>
    <row r="11" spans="1:6">
      <c r="A11" s="5" t="s">
        <v>286</v>
      </c>
      <c r="B11" s="5" t="s">
        <v>209</v>
      </c>
      <c r="C11" s="6">
        <v>1145</v>
      </c>
      <c r="D11" s="8">
        <v>139658.69</v>
      </c>
      <c r="E11" s="7">
        <v>4.27</v>
      </c>
      <c r="F11" s="7">
        <v>5.19</v>
      </c>
    </row>
    <row r="12" spans="1:6">
      <c r="A12" s="5" t="s">
        <v>287</v>
      </c>
      <c r="B12" s="5" t="s">
        <v>209</v>
      </c>
      <c r="C12" s="6">
        <v>910</v>
      </c>
      <c r="D12" s="8">
        <v>138208.56</v>
      </c>
      <c r="E12" s="7">
        <v>3.87</v>
      </c>
      <c r="F12" s="7">
        <v>6.69</v>
      </c>
    </row>
    <row r="13" spans="1:6">
      <c r="A13" s="5" t="s">
        <v>288</v>
      </c>
      <c r="B13" s="5" t="s">
        <v>209</v>
      </c>
      <c r="C13" s="6">
        <v>1261</v>
      </c>
      <c r="D13" s="8">
        <v>131836.71</v>
      </c>
      <c r="E13" s="7">
        <v>4.09</v>
      </c>
      <c r="F13" s="7">
        <v>6.45</v>
      </c>
    </row>
  </sheetData>
  <pageMargins left="0.75" right="0.75" top="1" bottom="1" header="0.5" footer="0.5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F13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35" customWidth="1"/>
    <col min="2" max="2" width="15" customWidth="1"/>
    <col min="3" max="4" width="12" customWidth="1"/>
    <col min="5" max="5" width="19" customWidth="1"/>
    <col min="6" max="6" width="16" customWidth="1"/>
  </cols>
  <sheetData>
    <row r="1" ht="16.5" spans="1:6">
      <c r="A1" s="1" t="s">
        <v>289</v>
      </c>
    </row>
    <row r="2" spans="1:6">
      <c r="A2" s="2" t="s">
        <v>290</v>
      </c>
    </row>
    <row r="3" ht="30" customHeight="1" spans="1:6">
      <c r="A3" s="3" t="s">
        <v>276</v>
      </c>
      <c r="B3" s="3" t="s">
        <v>277</v>
      </c>
      <c r="C3" s="3" t="s">
        <v>77</v>
      </c>
      <c r="D3" s="3" t="s">
        <v>90</v>
      </c>
      <c r="E3" s="3" t="s">
        <v>73</v>
      </c>
      <c r="F3" s="3" t="s">
        <v>278</v>
      </c>
    </row>
    <row r="4" spans="1:6">
      <c r="A4" s="5" t="s">
        <v>291</v>
      </c>
      <c r="B4" s="5" t="s">
        <v>209</v>
      </c>
      <c r="C4" s="6">
        <v>108</v>
      </c>
      <c r="D4" s="8">
        <v>12474.64</v>
      </c>
      <c r="E4" s="7">
        <v>2.27</v>
      </c>
      <c r="F4" s="7">
        <v>14.96</v>
      </c>
    </row>
    <row r="5" spans="1:6">
      <c r="A5" s="5" t="s">
        <v>292</v>
      </c>
      <c r="B5" s="5" t="s">
        <v>209</v>
      </c>
      <c r="C5" s="6">
        <v>187</v>
      </c>
      <c r="D5" s="8">
        <v>38990.72</v>
      </c>
      <c r="E5" s="7">
        <v>2.81</v>
      </c>
      <c r="F5" s="7">
        <v>11.68</v>
      </c>
    </row>
    <row r="6" spans="1:6">
      <c r="A6" s="5" t="s">
        <v>293</v>
      </c>
      <c r="B6" s="5" t="s">
        <v>214</v>
      </c>
      <c r="C6" s="6">
        <v>81</v>
      </c>
      <c r="D6" s="8">
        <v>7910.42</v>
      </c>
      <c r="E6" s="7">
        <v>2.96</v>
      </c>
      <c r="F6" s="7">
        <v>11.63</v>
      </c>
    </row>
    <row r="7" spans="1:6">
      <c r="A7" s="5" t="s">
        <v>294</v>
      </c>
      <c r="B7" s="5" t="s">
        <v>209</v>
      </c>
      <c r="C7" s="6">
        <v>96</v>
      </c>
      <c r="D7" s="8">
        <v>8646.9</v>
      </c>
      <c r="E7" s="7">
        <v>2.97</v>
      </c>
      <c r="F7" s="7">
        <v>21.15</v>
      </c>
    </row>
    <row r="8" spans="1:6">
      <c r="A8" s="5" t="s">
        <v>295</v>
      </c>
      <c r="B8" s="5" t="s">
        <v>209</v>
      </c>
      <c r="C8" s="6">
        <v>84</v>
      </c>
      <c r="D8" s="8">
        <v>14107.38</v>
      </c>
      <c r="E8" s="7">
        <v>2.99</v>
      </c>
      <c r="F8" s="7">
        <v>10.08</v>
      </c>
    </row>
    <row r="9" spans="1:6">
      <c r="A9" s="5" t="s">
        <v>296</v>
      </c>
      <c r="B9" s="5" t="s">
        <v>211</v>
      </c>
      <c r="C9" s="6">
        <v>48</v>
      </c>
      <c r="D9" s="8">
        <v>2697.4</v>
      </c>
      <c r="E9" s="7">
        <v>3.04</v>
      </c>
      <c r="F9" s="7">
        <v>29.41</v>
      </c>
    </row>
    <row r="10" spans="1:6">
      <c r="A10" s="5" t="s">
        <v>297</v>
      </c>
      <c r="B10" s="5" t="s">
        <v>209</v>
      </c>
      <c r="C10" s="6">
        <v>48</v>
      </c>
      <c r="D10" s="8">
        <v>3559.17</v>
      </c>
      <c r="E10" s="7">
        <v>3.04</v>
      </c>
      <c r="F10" s="7">
        <v>20</v>
      </c>
    </row>
    <row r="11" spans="1:6">
      <c r="A11" s="5" t="s">
        <v>298</v>
      </c>
      <c r="B11" s="5" t="s">
        <v>209</v>
      </c>
      <c r="C11" s="6">
        <v>68</v>
      </c>
      <c r="D11" s="8">
        <v>4426.32</v>
      </c>
      <c r="E11" s="7">
        <v>3.05</v>
      </c>
      <c r="F11" s="7">
        <v>22.62</v>
      </c>
    </row>
    <row r="12" spans="1:6">
      <c r="A12" s="5" t="s">
        <v>299</v>
      </c>
      <c r="B12" s="5" t="s">
        <v>213</v>
      </c>
      <c r="C12" s="6">
        <v>73</v>
      </c>
      <c r="D12" s="8">
        <v>10351.7</v>
      </c>
      <c r="E12" s="7">
        <v>3.07</v>
      </c>
      <c r="F12" s="7">
        <v>32.1</v>
      </c>
    </row>
    <row r="13" spans="1:6">
      <c r="A13" s="5" t="s">
        <v>300</v>
      </c>
      <c r="B13" s="5" t="s">
        <v>209</v>
      </c>
      <c r="C13" s="6">
        <v>62</v>
      </c>
      <c r="D13" s="8">
        <v>9812.83</v>
      </c>
      <c r="E13" s="7">
        <v>3.08</v>
      </c>
      <c r="F13" s="7">
        <v>10.39</v>
      </c>
    </row>
  </sheetData>
  <pageMargins left="0.75" right="0.75" top="1" bottom="1" header="0.5" footer="0.5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C4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Row="3" outlineLevelCol="2"/>
  <cols>
    <col min="1" max="1" width="18" customWidth="1"/>
    <col min="2" max="2" width="19" customWidth="1"/>
    <col min="3" max="3" width="18" customWidth="1"/>
  </cols>
  <sheetData>
    <row r="1" ht="16.5" spans="1:3">
      <c r="A1" s="1" t="s">
        <v>301</v>
      </c>
    </row>
    <row r="2" spans="1:3">
      <c r="A2" s="2" t="s">
        <v>302</v>
      </c>
    </row>
    <row r="3" ht="30" customHeight="1" spans="1:3">
      <c r="A3" s="3" t="s">
        <v>303</v>
      </c>
      <c r="B3" s="3" t="s">
        <v>304</v>
      </c>
      <c r="C3" s="3" t="s">
        <v>305</v>
      </c>
    </row>
    <row r="4" spans="1:3">
      <c r="A4" s="6">
        <v>93358</v>
      </c>
      <c r="B4" s="6">
        <v>2801</v>
      </c>
      <c r="C4" s="7">
        <v>3</v>
      </c>
    </row>
  </sheetData>
  <pageMargins left="0.75" right="0.75" top="1" bottom="1" header="0.5" footer="0.5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D7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Row="6" outlineLevelCol="3"/>
  <cols>
    <col min="1" max="1" width="16" customWidth="1"/>
    <col min="2" max="2" width="12" customWidth="1"/>
    <col min="3" max="3" width="19" customWidth="1"/>
    <col min="4" max="4" width="14" customWidth="1"/>
  </cols>
  <sheetData>
    <row r="1" ht="16.5" spans="1:4">
      <c r="A1" s="1" t="s">
        <v>306</v>
      </c>
    </row>
    <row r="2" spans="1:4">
      <c r="A2" s="2" t="s">
        <v>307</v>
      </c>
    </row>
    <row r="3" ht="30" customHeight="1" spans="1:4">
      <c r="A3" s="3" t="s">
        <v>308</v>
      </c>
      <c r="B3" s="3" t="s">
        <v>206</v>
      </c>
      <c r="C3" s="3" t="s">
        <v>309</v>
      </c>
      <c r="D3" s="3" t="s">
        <v>90</v>
      </c>
    </row>
    <row r="4" spans="1:4">
      <c r="A4" s="5" t="s">
        <v>310</v>
      </c>
      <c r="B4" s="6">
        <v>90557</v>
      </c>
      <c r="C4" s="7">
        <v>97</v>
      </c>
      <c r="D4" s="8">
        <v>12493089.36</v>
      </c>
    </row>
    <row r="5" spans="1:4">
      <c r="A5" s="5" t="s">
        <v>311</v>
      </c>
      <c r="B5" s="6">
        <v>2573</v>
      </c>
      <c r="C5" s="7">
        <v>2.76</v>
      </c>
      <c r="D5" s="8">
        <v>631274.9</v>
      </c>
    </row>
    <row r="6" spans="1:4">
      <c r="A6" s="5" t="s">
        <v>312</v>
      </c>
      <c r="B6" s="6">
        <v>181</v>
      </c>
      <c r="C6" s="7">
        <v>0.19</v>
      </c>
      <c r="D6" s="8">
        <v>65974.42</v>
      </c>
    </row>
    <row r="7" spans="1:4">
      <c r="A7" s="5" t="s">
        <v>313</v>
      </c>
      <c r="B7" s="6">
        <v>47</v>
      </c>
      <c r="C7" s="7">
        <v>0.05</v>
      </c>
      <c r="D7" s="8">
        <v>31159.43</v>
      </c>
    </row>
  </sheetData>
  <pageMargins left="0.75" right="0.75" top="1" bottom="1" header="0.5" footer="0.5"/>
  <headerFooter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D222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15" customWidth="1"/>
    <col min="2" max="2" width="14" customWidth="1"/>
    <col min="3" max="3" width="19" customWidth="1"/>
    <col min="4" max="4" width="16" customWidth="1"/>
  </cols>
  <sheetData>
    <row r="1" ht="16.5" spans="1:4">
      <c r="A1" s="1" t="s">
        <v>314</v>
      </c>
    </row>
    <row r="2" spans="1:4">
      <c r="A2" s="2" t="s">
        <v>315</v>
      </c>
    </row>
    <row r="3" ht="30" customHeight="1" spans="1:4">
      <c r="A3" s="3" t="s">
        <v>316</v>
      </c>
      <c r="B3" s="3" t="s">
        <v>317</v>
      </c>
      <c r="C3" s="3" t="s">
        <v>318</v>
      </c>
      <c r="D3" s="3" t="s">
        <v>319</v>
      </c>
    </row>
    <row r="4" spans="1:4">
      <c r="A4" s="5" t="s">
        <v>93</v>
      </c>
      <c r="B4" s="9">
        <v>0</v>
      </c>
      <c r="C4" s="6">
        <v>1</v>
      </c>
      <c r="D4" s="7">
        <v>100</v>
      </c>
    </row>
    <row r="5" spans="1:4">
      <c r="A5" s="5" t="s">
        <v>94</v>
      </c>
      <c r="B5" s="9">
        <v>0</v>
      </c>
      <c r="C5" s="6">
        <v>262</v>
      </c>
      <c r="D5" s="7">
        <v>100</v>
      </c>
    </row>
    <row r="6" spans="1:4">
      <c r="A6" s="5" t="s">
        <v>94</v>
      </c>
      <c r="B6" s="9">
        <v>6</v>
      </c>
      <c r="C6" s="6">
        <v>1</v>
      </c>
      <c r="D6" s="7">
        <v>0.38</v>
      </c>
    </row>
    <row r="7" spans="1:4">
      <c r="A7" s="5" t="s">
        <v>94</v>
      </c>
      <c r="B7" s="9">
        <v>9</v>
      </c>
      <c r="C7" s="6">
        <v>1</v>
      </c>
      <c r="D7" s="7">
        <v>0.38</v>
      </c>
    </row>
    <row r="8" spans="1:4">
      <c r="A8" s="5" t="s">
        <v>94</v>
      </c>
      <c r="B8" s="9">
        <v>11</v>
      </c>
      <c r="C8" s="6">
        <v>1</v>
      </c>
      <c r="D8" s="7">
        <v>0.38</v>
      </c>
    </row>
    <row r="9" spans="1:4">
      <c r="A9" s="5" t="s">
        <v>94</v>
      </c>
      <c r="B9" s="9">
        <v>13</v>
      </c>
      <c r="C9" s="6">
        <v>1</v>
      </c>
      <c r="D9" s="7">
        <v>0.38</v>
      </c>
    </row>
    <row r="10" spans="1:4">
      <c r="A10" s="5" t="s">
        <v>94</v>
      </c>
      <c r="B10" s="9">
        <v>15</v>
      </c>
      <c r="C10" s="6">
        <v>1</v>
      </c>
      <c r="D10" s="7">
        <v>0.38</v>
      </c>
    </row>
    <row r="11" spans="1:4">
      <c r="A11" s="5" t="s">
        <v>94</v>
      </c>
      <c r="B11" s="9">
        <v>17</v>
      </c>
      <c r="C11" s="6">
        <v>1</v>
      </c>
      <c r="D11" s="7">
        <v>0.38</v>
      </c>
    </row>
    <row r="12" spans="1:4">
      <c r="A12" s="5" t="s">
        <v>94</v>
      </c>
      <c r="B12" s="9">
        <v>19</v>
      </c>
      <c r="C12" s="6">
        <v>2</v>
      </c>
      <c r="D12" s="7">
        <v>0.76</v>
      </c>
    </row>
    <row r="13" spans="1:4">
      <c r="A13" s="5" t="s">
        <v>94</v>
      </c>
      <c r="B13" s="9">
        <v>20</v>
      </c>
      <c r="C13" s="6">
        <v>2</v>
      </c>
      <c r="D13" s="7">
        <v>0.76</v>
      </c>
    </row>
    <row r="14" spans="1:4">
      <c r="A14" s="5" t="s">
        <v>95</v>
      </c>
      <c r="B14" s="9">
        <v>0</v>
      </c>
      <c r="C14" s="6">
        <v>1</v>
      </c>
      <c r="D14" s="7">
        <v>100</v>
      </c>
    </row>
    <row r="15" spans="1:4">
      <c r="A15" s="5" t="s">
        <v>95</v>
      </c>
      <c r="B15" s="9">
        <v>1</v>
      </c>
      <c r="C15" s="6">
        <v>1</v>
      </c>
      <c r="D15" s="7">
        <v>100</v>
      </c>
    </row>
    <row r="16" spans="1:4">
      <c r="A16" s="5" t="s">
        <v>21</v>
      </c>
      <c r="B16" s="9">
        <v>0</v>
      </c>
      <c r="C16" s="6">
        <v>717</v>
      </c>
      <c r="D16" s="7">
        <v>100</v>
      </c>
    </row>
    <row r="17" spans="1:4">
      <c r="A17" s="5" t="s">
        <v>21</v>
      </c>
      <c r="B17" s="9">
        <v>1</v>
      </c>
      <c r="C17" s="6">
        <v>2</v>
      </c>
      <c r="D17" s="7">
        <v>0.28</v>
      </c>
    </row>
    <row r="18" spans="1:4">
      <c r="A18" s="5" t="s">
        <v>21</v>
      </c>
      <c r="B18" s="9">
        <v>2</v>
      </c>
      <c r="C18" s="6">
        <v>2</v>
      </c>
      <c r="D18" s="7">
        <v>0.28</v>
      </c>
    </row>
    <row r="19" spans="1:4">
      <c r="A19" s="5" t="s">
        <v>21</v>
      </c>
      <c r="B19" s="9">
        <v>3</v>
      </c>
      <c r="C19" s="6">
        <v>1</v>
      </c>
      <c r="D19" s="7">
        <v>0.14</v>
      </c>
    </row>
    <row r="20" spans="1:4">
      <c r="A20" s="5" t="s">
        <v>21</v>
      </c>
      <c r="B20" s="9">
        <v>4</v>
      </c>
      <c r="C20" s="6">
        <v>3</v>
      </c>
      <c r="D20" s="7">
        <v>0.42</v>
      </c>
    </row>
    <row r="21" spans="1:4">
      <c r="A21" s="5" t="s">
        <v>21</v>
      </c>
      <c r="B21" s="9">
        <v>5</v>
      </c>
      <c r="C21" s="6">
        <v>1</v>
      </c>
      <c r="D21" s="7">
        <v>0.14</v>
      </c>
    </row>
    <row r="22" spans="1:4">
      <c r="A22" s="5" t="s">
        <v>21</v>
      </c>
      <c r="B22" s="9">
        <v>6</v>
      </c>
      <c r="C22" s="6">
        <v>3</v>
      </c>
      <c r="D22" s="7">
        <v>0.42</v>
      </c>
    </row>
    <row r="23" spans="1:4">
      <c r="A23" s="5" t="s">
        <v>21</v>
      </c>
      <c r="B23" s="9">
        <v>7</v>
      </c>
      <c r="C23" s="6">
        <v>1</v>
      </c>
      <c r="D23" s="7">
        <v>0.14</v>
      </c>
    </row>
    <row r="24" spans="1:4">
      <c r="A24" s="5" t="s">
        <v>21</v>
      </c>
      <c r="B24" s="9">
        <v>8</v>
      </c>
      <c r="C24" s="6">
        <v>1</v>
      </c>
      <c r="D24" s="7">
        <v>0.14</v>
      </c>
    </row>
    <row r="25" spans="1:4">
      <c r="A25" s="5" t="s">
        <v>21</v>
      </c>
      <c r="B25" s="9">
        <v>10</v>
      </c>
      <c r="C25" s="6">
        <v>3</v>
      </c>
      <c r="D25" s="7">
        <v>0.42</v>
      </c>
    </row>
    <row r="26" spans="1:4">
      <c r="A26" s="5" t="s">
        <v>21</v>
      </c>
      <c r="B26" s="9">
        <v>11</v>
      </c>
      <c r="C26" s="6">
        <v>1</v>
      </c>
      <c r="D26" s="7">
        <v>0.14</v>
      </c>
    </row>
    <row r="27" spans="1:4">
      <c r="A27" s="5" t="s">
        <v>21</v>
      </c>
      <c r="B27" s="9">
        <v>12</v>
      </c>
      <c r="C27" s="6">
        <v>5</v>
      </c>
      <c r="D27" s="7">
        <v>0.7</v>
      </c>
    </row>
    <row r="28" spans="1:4">
      <c r="A28" s="5" t="s">
        <v>21</v>
      </c>
      <c r="B28" s="9">
        <v>13</v>
      </c>
      <c r="C28" s="6">
        <v>3</v>
      </c>
      <c r="D28" s="7">
        <v>0.42</v>
      </c>
    </row>
    <row r="29" spans="1:4">
      <c r="A29" s="5" t="s">
        <v>21</v>
      </c>
      <c r="B29" s="9">
        <v>14</v>
      </c>
      <c r="C29" s="6">
        <v>1</v>
      </c>
      <c r="D29" s="7">
        <v>0.14</v>
      </c>
    </row>
    <row r="30" spans="1:4">
      <c r="A30" s="5" t="s">
        <v>21</v>
      </c>
      <c r="B30" s="9">
        <v>15</v>
      </c>
      <c r="C30" s="6">
        <v>1</v>
      </c>
      <c r="D30" s="7">
        <v>0.14</v>
      </c>
    </row>
    <row r="31" spans="1:4">
      <c r="A31" s="5" t="s">
        <v>21</v>
      </c>
      <c r="B31" s="9">
        <v>16</v>
      </c>
      <c r="C31" s="6">
        <v>2</v>
      </c>
      <c r="D31" s="7">
        <v>0.28</v>
      </c>
    </row>
    <row r="32" spans="1:4">
      <c r="A32" s="5" t="s">
        <v>21</v>
      </c>
      <c r="B32" s="9">
        <v>17</v>
      </c>
      <c r="C32" s="6">
        <v>3</v>
      </c>
      <c r="D32" s="7">
        <v>0.42</v>
      </c>
    </row>
    <row r="33" spans="1:4">
      <c r="A33" s="5" t="s">
        <v>21</v>
      </c>
      <c r="B33" s="9">
        <v>19</v>
      </c>
      <c r="C33" s="6">
        <v>1</v>
      </c>
      <c r="D33" s="7">
        <v>0.14</v>
      </c>
    </row>
    <row r="34" spans="1:4">
      <c r="A34" s="5" t="s">
        <v>22</v>
      </c>
      <c r="B34" s="9">
        <v>0</v>
      </c>
      <c r="C34" s="6">
        <v>1628</v>
      </c>
      <c r="D34" s="7">
        <v>100</v>
      </c>
    </row>
    <row r="35" spans="1:4">
      <c r="A35" s="5" t="s">
        <v>22</v>
      </c>
      <c r="B35" s="9">
        <v>1</v>
      </c>
      <c r="C35" s="6">
        <v>3</v>
      </c>
      <c r="D35" s="7">
        <v>0.18</v>
      </c>
    </row>
    <row r="36" spans="1:4">
      <c r="A36" s="5" t="s">
        <v>22</v>
      </c>
      <c r="B36" s="9">
        <v>2</v>
      </c>
      <c r="C36" s="6">
        <v>5</v>
      </c>
      <c r="D36" s="7">
        <v>0.31</v>
      </c>
    </row>
    <row r="37" spans="1:4">
      <c r="A37" s="5" t="s">
        <v>22</v>
      </c>
      <c r="B37" s="9">
        <v>3</v>
      </c>
      <c r="C37" s="6">
        <v>2</v>
      </c>
      <c r="D37" s="7">
        <v>0.12</v>
      </c>
    </row>
    <row r="38" spans="1:4">
      <c r="A38" s="5" t="s">
        <v>22</v>
      </c>
      <c r="B38" s="9">
        <v>4</v>
      </c>
      <c r="C38" s="6">
        <v>7</v>
      </c>
      <c r="D38" s="7">
        <v>0.43</v>
      </c>
    </row>
    <row r="39" spans="1:4">
      <c r="A39" s="5" t="s">
        <v>22</v>
      </c>
      <c r="B39" s="9">
        <v>5</v>
      </c>
      <c r="C39" s="6">
        <v>2</v>
      </c>
      <c r="D39" s="7">
        <v>0.12</v>
      </c>
    </row>
    <row r="40" spans="1:4">
      <c r="A40" s="5" t="s">
        <v>22</v>
      </c>
      <c r="B40" s="9">
        <v>6</v>
      </c>
      <c r="C40" s="6">
        <v>4</v>
      </c>
      <c r="D40" s="7">
        <v>0.25</v>
      </c>
    </row>
    <row r="41" spans="1:4">
      <c r="A41" s="5" t="s">
        <v>22</v>
      </c>
      <c r="B41" s="9">
        <v>7</v>
      </c>
      <c r="C41" s="6">
        <v>3</v>
      </c>
      <c r="D41" s="7">
        <v>0.18</v>
      </c>
    </row>
    <row r="42" spans="1:4">
      <c r="A42" s="5" t="s">
        <v>22</v>
      </c>
      <c r="B42" s="9">
        <v>8</v>
      </c>
      <c r="C42" s="6">
        <v>2</v>
      </c>
      <c r="D42" s="7">
        <v>0.12</v>
      </c>
    </row>
    <row r="43" spans="1:4">
      <c r="A43" s="5" t="s">
        <v>22</v>
      </c>
      <c r="B43" s="9">
        <v>9</v>
      </c>
      <c r="C43" s="6">
        <v>3</v>
      </c>
      <c r="D43" s="7">
        <v>0.18</v>
      </c>
    </row>
    <row r="44" spans="1:4">
      <c r="A44" s="5" t="s">
        <v>22</v>
      </c>
      <c r="B44" s="9">
        <v>10</v>
      </c>
      <c r="C44" s="6">
        <v>2</v>
      </c>
      <c r="D44" s="7">
        <v>0.12</v>
      </c>
    </row>
    <row r="45" spans="1:4">
      <c r="A45" s="5" t="s">
        <v>22</v>
      </c>
      <c r="B45" s="9">
        <v>11</v>
      </c>
      <c r="C45" s="6">
        <v>5</v>
      </c>
      <c r="D45" s="7">
        <v>0.31</v>
      </c>
    </row>
    <row r="46" spans="1:4">
      <c r="A46" s="5" t="s">
        <v>22</v>
      </c>
      <c r="B46" s="9">
        <v>12</v>
      </c>
      <c r="C46" s="6">
        <v>2</v>
      </c>
      <c r="D46" s="7">
        <v>0.12</v>
      </c>
    </row>
    <row r="47" spans="1:4">
      <c r="A47" s="5" t="s">
        <v>22</v>
      </c>
      <c r="B47" s="9">
        <v>13</v>
      </c>
      <c r="C47" s="6">
        <v>3</v>
      </c>
      <c r="D47" s="7">
        <v>0.18</v>
      </c>
    </row>
    <row r="48" spans="1:4">
      <c r="A48" s="5" t="s">
        <v>22</v>
      </c>
      <c r="B48" s="9">
        <v>14</v>
      </c>
      <c r="C48" s="6">
        <v>2</v>
      </c>
      <c r="D48" s="7">
        <v>0.12</v>
      </c>
    </row>
    <row r="49" spans="1:4">
      <c r="A49" s="5" t="s">
        <v>22</v>
      </c>
      <c r="B49" s="9">
        <v>15</v>
      </c>
      <c r="C49" s="6">
        <v>1</v>
      </c>
      <c r="D49" s="7">
        <v>0.06</v>
      </c>
    </row>
    <row r="50" spans="1:4">
      <c r="A50" s="5" t="s">
        <v>22</v>
      </c>
      <c r="B50" s="9">
        <v>16</v>
      </c>
      <c r="C50" s="6">
        <v>1</v>
      </c>
      <c r="D50" s="7">
        <v>0.06</v>
      </c>
    </row>
    <row r="51" spans="1:4">
      <c r="A51" s="5" t="s">
        <v>22</v>
      </c>
      <c r="B51" s="9">
        <v>17</v>
      </c>
      <c r="C51" s="6">
        <v>3</v>
      </c>
      <c r="D51" s="7">
        <v>0.18</v>
      </c>
    </row>
    <row r="52" spans="1:4">
      <c r="A52" s="5" t="s">
        <v>23</v>
      </c>
      <c r="B52" s="9">
        <v>0</v>
      </c>
      <c r="C52" s="6">
        <v>2503</v>
      </c>
      <c r="D52" s="7">
        <v>100</v>
      </c>
    </row>
    <row r="53" spans="1:4">
      <c r="A53" s="5" t="s">
        <v>23</v>
      </c>
      <c r="B53" s="9">
        <v>1</v>
      </c>
      <c r="C53" s="6">
        <v>11</v>
      </c>
      <c r="D53" s="7">
        <v>0.44</v>
      </c>
    </row>
    <row r="54" spans="1:4">
      <c r="A54" s="5" t="s">
        <v>23</v>
      </c>
      <c r="B54" s="9">
        <v>2</v>
      </c>
      <c r="C54" s="6">
        <v>9</v>
      </c>
      <c r="D54" s="7">
        <v>0.36</v>
      </c>
    </row>
    <row r="55" spans="1:4">
      <c r="A55" s="5" t="s">
        <v>23</v>
      </c>
      <c r="B55" s="9">
        <v>3</v>
      </c>
      <c r="C55" s="6">
        <v>10</v>
      </c>
      <c r="D55" s="7">
        <v>0.4</v>
      </c>
    </row>
    <row r="56" spans="1:4">
      <c r="A56" s="5" t="s">
        <v>23</v>
      </c>
      <c r="B56" s="9">
        <v>4</v>
      </c>
      <c r="C56" s="6">
        <v>9</v>
      </c>
      <c r="D56" s="7">
        <v>0.36</v>
      </c>
    </row>
    <row r="57" spans="1:4">
      <c r="A57" s="5" t="s">
        <v>23</v>
      </c>
      <c r="B57" s="9">
        <v>5</v>
      </c>
      <c r="C57" s="6">
        <v>4</v>
      </c>
      <c r="D57" s="7">
        <v>0.16</v>
      </c>
    </row>
    <row r="58" spans="1:4">
      <c r="A58" s="5" t="s">
        <v>23</v>
      </c>
      <c r="B58" s="9">
        <v>6</v>
      </c>
      <c r="C58" s="6">
        <v>4</v>
      </c>
      <c r="D58" s="7">
        <v>0.16</v>
      </c>
    </row>
    <row r="59" spans="1:4">
      <c r="A59" s="5" t="s">
        <v>23</v>
      </c>
      <c r="B59" s="9">
        <v>7</v>
      </c>
      <c r="C59" s="6">
        <v>8</v>
      </c>
      <c r="D59" s="7">
        <v>0.32</v>
      </c>
    </row>
    <row r="60" spans="1:4">
      <c r="A60" s="5" t="s">
        <v>23</v>
      </c>
      <c r="B60" s="9">
        <v>8</v>
      </c>
      <c r="C60" s="6">
        <v>8</v>
      </c>
      <c r="D60" s="7">
        <v>0.32</v>
      </c>
    </row>
    <row r="61" spans="1:4">
      <c r="A61" s="5" t="s">
        <v>23</v>
      </c>
      <c r="B61" s="9">
        <v>9</v>
      </c>
      <c r="C61" s="6">
        <v>2</v>
      </c>
      <c r="D61" s="7">
        <v>0.08</v>
      </c>
    </row>
    <row r="62" spans="1:4">
      <c r="A62" s="5" t="s">
        <v>23</v>
      </c>
      <c r="B62" s="9">
        <v>10</v>
      </c>
      <c r="C62" s="6">
        <v>9</v>
      </c>
      <c r="D62" s="7">
        <v>0.36</v>
      </c>
    </row>
    <row r="63" spans="1:4">
      <c r="A63" s="5" t="s">
        <v>23</v>
      </c>
      <c r="B63" s="9">
        <v>11</v>
      </c>
      <c r="C63" s="6">
        <v>3</v>
      </c>
      <c r="D63" s="7">
        <v>0.12</v>
      </c>
    </row>
    <row r="64" spans="1:4">
      <c r="A64" s="5" t="s">
        <v>23</v>
      </c>
      <c r="B64" s="9">
        <v>12</v>
      </c>
      <c r="C64" s="6">
        <v>5</v>
      </c>
      <c r="D64" s="7">
        <v>0.2</v>
      </c>
    </row>
    <row r="65" spans="1:4">
      <c r="A65" s="5" t="s">
        <v>23</v>
      </c>
      <c r="B65" s="9">
        <v>13</v>
      </c>
      <c r="C65" s="6">
        <v>3</v>
      </c>
      <c r="D65" s="7">
        <v>0.12</v>
      </c>
    </row>
    <row r="66" spans="1:4">
      <c r="A66" s="5" t="s">
        <v>23</v>
      </c>
      <c r="B66" s="9">
        <v>14</v>
      </c>
      <c r="C66" s="6">
        <v>4</v>
      </c>
      <c r="D66" s="7">
        <v>0.16</v>
      </c>
    </row>
    <row r="67" spans="1:4">
      <c r="A67" s="5" t="s">
        <v>23</v>
      </c>
      <c r="B67" s="9">
        <v>15</v>
      </c>
      <c r="C67" s="6">
        <v>6</v>
      </c>
      <c r="D67" s="7">
        <v>0.24</v>
      </c>
    </row>
    <row r="68" spans="1:4">
      <c r="A68" s="5" t="s">
        <v>23</v>
      </c>
      <c r="B68" s="9">
        <v>16</v>
      </c>
      <c r="C68" s="6">
        <v>2</v>
      </c>
      <c r="D68" s="7">
        <v>0.08</v>
      </c>
    </row>
    <row r="69" spans="1:4">
      <c r="A69" s="5" t="s">
        <v>23</v>
      </c>
      <c r="B69" s="9">
        <v>17</v>
      </c>
      <c r="C69" s="6">
        <v>3</v>
      </c>
      <c r="D69" s="7">
        <v>0.12</v>
      </c>
    </row>
    <row r="70" spans="1:4">
      <c r="A70" s="5" t="s">
        <v>24</v>
      </c>
      <c r="B70" s="9">
        <v>0</v>
      </c>
      <c r="C70" s="6">
        <v>2256</v>
      </c>
      <c r="D70" s="7">
        <v>100</v>
      </c>
    </row>
    <row r="71" spans="1:4">
      <c r="A71" s="5" t="s">
        <v>24</v>
      </c>
      <c r="B71" s="9">
        <v>1</v>
      </c>
      <c r="C71" s="6">
        <v>14</v>
      </c>
      <c r="D71" s="7">
        <v>0.62</v>
      </c>
    </row>
    <row r="72" spans="1:4">
      <c r="A72" s="5" t="s">
        <v>24</v>
      </c>
      <c r="B72" s="9">
        <v>2</v>
      </c>
      <c r="C72" s="6">
        <v>5</v>
      </c>
      <c r="D72" s="7">
        <v>0.22</v>
      </c>
    </row>
    <row r="73" spans="1:4">
      <c r="A73" s="5" t="s">
        <v>24</v>
      </c>
      <c r="B73" s="9">
        <v>3</v>
      </c>
      <c r="C73" s="6">
        <v>4</v>
      </c>
      <c r="D73" s="7">
        <v>0.18</v>
      </c>
    </row>
    <row r="74" spans="1:4">
      <c r="A74" s="5" t="s">
        <v>24</v>
      </c>
      <c r="B74" s="9">
        <v>4</v>
      </c>
      <c r="C74" s="6">
        <v>6</v>
      </c>
      <c r="D74" s="7">
        <v>0.27</v>
      </c>
    </row>
    <row r="75" spans="1:4">
      <c r="A75" s="5" t="s">
        <v>24</v>
      </c>
      <c r="B75" s="9">
        <v>5</v>
      </c>
      <c r="C75" s="6">
        <v>6</v>
      </c>
      <c r="D75" s="7">
        <v>0.27</v>
      </c>
    </row>
    <row r="76" spans="1:4">
      <c r="A76" s="5" t="s">
        <v>24</v>
      </c>
      <c r="B76" s="9">
        <v>6</v>
      </c>
      <c r="C76" s="6">
        <v>8</v>
      </c>
      <c r="D76" s="7">
        <v>0.35</v>
      </c>
    </row>
    <row r="77" spans="1:4">
      <c r="A77" s="5" t="s">
        <v>24</v>
      </c>
      <c r="B77" s="9">
        <v>7</v>
      </c>
      <c r="C77" s="6">
        <v>7</v>
      </c>
      <c r="D77" s="7">
        <v>0.31</v>
      </c>
    </row>
    <row r="78" spans="1:4">
      <c r="A78" s="5" t="s">
        <v>24</v>
      </c>
      <c r="B78" s="9">
        <v>8</v>
      </c>
      <c r="C78" s="6">
        <v>7</v>
      </c>
      <c r="D78" s="7">
        <v>0.31</v>
      </c>
    </row>
    <row r="79" spans="1:4">
      <c r="A79" s="5" t="s">
        <v>24</v>
      </c>
      <c r="B79" s="9">
        <v>9</v>
      </c>
      <c r="C79" s="6">
        <v>4</v>
      </c>
      <c r="D79" s="7">
        <v>0.18</v>
      </c>
    </row>
    <row r="80" spans="1:4">
      <c r="A80" s="5" t="s">
        <v>24</v>
      </c>
      <c r="B80" s="9">
        <v>10</v>
      </c>
      <c r="C80" s="6">
        <v>6</v>
      </c>
      <c r="D80" s="7">
        <v>0.27</v>
      </c>
    </row>
    <row r="81" spans="1:4">
      <c r="A81" s="5" t="s">
        <v>24</v>
      </c>
      <c r="B81" s="9">
        <v>11</v>
      </c>
      <c r="C81" s="6">
        <v>2</v>
      </c>
      <c r="D81" s="7">
        <v>0.09</v>
      </c>
    </row>
    <row r="82" spans="1:4">
      <c r="A82" s="5" t="s">
        <v>24</v>
      </c>
      <c r="B82" s="9">
        <v>12</v>
      </c>
      <c r="C82" s="6">
        <v>1</v>
      </c>
      <c r="D82" s="7">
        <v>0.04</v>
      </c>
    </row>
    <row r="83" spans="1:4">
      <c r="A83" s="5" t="s">
        <v>24</v>
      </c>
      <c r="B83" s="9">
        <v>13</v>
      </c>
      <c r="C83" s="6">
        <v>1</v>
      </c>
      <c r="D83" s="7">
        <v>0.04</v>
      </c>
    </row>
    <row r="84" spans="1:4">
      <c r="A84" s="5" t="s">
        <v>24</v>
      </c>
      <c r="B84" s="9">
        <v>14</v>
      </c>
      <c r="C84" s="6">
        <v>2</v>
      </c>
      <c r="D84" s="7">
        <v>0.09</v>
      </c>
    </row>
    <row r="85" spans="1:4">
      <c r="A85" s="5" t="s">
        <v>24</v>
      </c>
      <c r="B85" s="9">
        <v>15</v>
      </c>
      <c r="C85" s="6">
        <v>2</v>
      </c>
      <c r="D85" s="7">
        <v>0.09</v>
      </c>
    </row>
    <row r="86" spans="1:4">
      <c r="A86" s="5" t="s">
        <v>24</v>
      </c>
      <c r="B86" s="9">
        <v>16</v>
      </c>
      <c r="C86" s="6">
        <v>3</v>
      </c>
      <c r="D86" s="7">
        <v>0.13</v>
      </c>
    </row>
    <row r="87" spans="1:4">
      <c r="A87" s="5" t="s">
        <v>25</v>
      </c>
      <c r="B87" s="9">
        <v>0</v>
      </c>
      <c r="C87" s="6">
        <v>3451</v>
      </c>
      <c r="D87" s="7">
        <v>100</v>
      </c>
    </row>
    <row r="88" spans="1:4">
      <c r="A88" s="5" t="s">
        <v>25</v>
      </c>
      <c r="B88" s="9">
        <v>1</v>
      </c>
      <c r="C88" s="6">
        <v>16</v>
      </c>
      <c r="D88" s="7">
        <v>0.46</v>
      </c>
    </row>
    <row r="89" spans="1:4">
      <c r="A89" s="5" t="s">
        <v>25</v>
      </c>
      <c r="B89" s="9">
        <v>2</v>
      </c>
      <c r="C89" s="6">
        <v>16</v>
      </c>
      <c r="D89" s="7">
        <v>0.46</v>
      </c>
    </row>
    <row r="90" spans="1:4">
      <c r="A90" s="5" t="s">
        <v>25</v>
      </c>
      <c r="B90" s="9">
        <v>3</v>
      </c>
      <c r="C90" s="6">
        <v>10</v>
      </c>
      <c r="D90" s="7">
        <v>0.29</v>
      </c>
    </row>
    <row r="91" spans="1:4">
      <c r="A91" s="5" t="s">
        <v>25</v>
      </c>
      <c r="B91" s="9">
        <v>4</v>
      </c>
      <c r="C91" s="6">
        <v>10</v>
      </c>
      <c r="D91" s="7">
        <v>0.29</v>
      </c>
    </row>
    <row r="92" spans="1:4">
      <c r="A92" s="5" t="s">
        <v>25</v>
      </c>
      <c r="B92" s="9">
        <v>5</v>
      </c>
      <c r="C92" s="6">
        <v>11</v>
      </c>
      <c r="D92" s="7">
        <v>0.32</v>
      </c>
    </row>
    <row r="93" spans="1:4">
      <c r="A93" s="5" t="s">
        <v>25</v>
      </c>
      <c r="B93" s="9">
        <v>6</v>
      </c>
      <c r="C93" s="6">
        <v>14</v>
      </c>
      <c r="D93" s="7">
        <v>0.41</v>
      </c>
    </row>
    <row r="94" spans="1:4">
      <c r="A94" s="5" t="s">
        <v>25</v>
      </c>
      <c r="B94" s="9">
        <v>7</v>
      </c>
      <c r="C94" s="6">
        <v>5</v>
      </c>
      <c r="D94" s="7">
        <v>0.14</v>
      </c>
    </row>
    <row r="95" spans="1:4">
      <c r="A95" s="5" t="s">
        <v>25</v>
      </c>
      <c r="B95" s="9">
        <v>8</v>
      </c>
      <c r="C95" s="6">
        <v>9</v>
      </c>
      <c r="D95" s="7">
        <v>0.26</v>
      </c>
    </row>
    <row r="96" spans="1:4">
      <c r="A96" s="5" t="s">
        <v>25</v>
      </c>
      <c r="B96" s="9">
        <v>9</v>
      </c>
      <c r="C96" s="6">
        <v>9</v>
      </c>
      <c r="D96" s="7">
        <v>0.26</v>
      </c>
    </row>
    <row r="97" spans="1:4">
      <c r="A97" s="5" t="s">
        <v>25</v>
      </c>
      <c r="B97" s="9">
        <v>10</v>
      </c>
      <c r="C97" s="6">
        <v>9</v>
      </c>
      <c r="D97" s="7">
        <v>0.26</v>
      </c>
    </row>
    <row r="98" spans="1:4">
      <c r="A98" s="5" t="s">
        <v>25</v>
      </c>
      <c r="B98" s="9">
        <v>11</v>
      </c>
      <c r="C98" s="6">
        <v>12</v>
      </c>
      <c r="D98" s="7">
        <v>0.35</v>
      </c>
    </row>
    <row r="99" spans="1:4">
      <c r="A99" s="5" t="s">
        <v>25</v>
      </c>
      <c r="B99" s="9">
        <v>12</v>
      </c>
      <c r="C99" s="6">
        <v>8</v>
      </c>
      <c r="D99" s="7">
        <v>0.23</v>
      </c>
    </row>
    <row r="100" spans="1:4">
      <c r="A100" s="5" t="s">
        <v>25</v>
      </c>
      <c r="B100" s="9">
        <v>13</v>
      </c>
      <c r="C100" s="6">
        <v>1</v>
      </c>
      <c r="D100" s="7">
        <v>0.03</v>
      </c>
    </row>
    <row r="101" spans="1:4">
      <c r="A101" s="5" t="s">
        <v>25</v>
      </c>
      <c r="B101" s="9">
        <v>14</v>
      </c>
      <c r="C101" s="6">
        <v>6</v>
      </c>
      <c r="D101" s="7">
        <v>0.17</v>
      </c>
    </row>
    <row r="102" spans="1:4">
      <c r="A102" s="5" t="s">
        <v>25</v>
      </c>
      <c r="B102" s="9">
        <v>15</v>
      </c>
      <c r="C102" s="6">
        <v>7</v>
      </c>
      <c r="D102" s="7">
        <v>0.2</v>
      </c>
    </row>
    <row r="103" spans="1:4">
      <c r="A103" s="5" t="s">
        <v>26</v>
      </c>
      <c r="B103" s="9">
        <v>0</v>
      </c>
      <c r="C103" s="6">
        <v>3037</v>
      </c>
      <c r="D103" s="7">
        <v>100</v>
      </c>
    </row>
    <row r="104" spans="1:4">
      <c r="A104" s="5" t="s">
        <v>26</v>
      </c>
      <c r="B104" s="9">
        <v>1</v>
      </c>
      <c r="C104" s="6">
        <v>15</v>
      </c>
      <c r="D104" s="7">
        <v>0.49</v>
      </c>
    </row>
    <row r="105" spans="1:4">
      <c r="A105" s="5" t="s">
        <v>26</v>
      </c>
      <c r="B105" s="9">
        <v>2</v>
      </c>
      <c r="C105" s="6">
        <v>12</v>
      </c>
      <c r="D105" s="7">
        <v>0.4</v>
      </c>
    </row>
    <row r="106" spans="1:4">
      <c r="A106" s="5" t="s">
        <v>26</v>
      </c>
      <c r="B106" s="9">
        <v>3</v>
      </c>
      <c r="C106" s="6">
        <v>13</v>
      </c>
      <c r="D106" s="7">
        <v>0.43</v>
      </c>
    </row>
    <row r="107" spans="1:4">
      <c r="A107" s="5" t="s">
        <v>26</v>
      </c>
      <c r="B107" s="9">
        <v>4</v>
      </c>
      <c r="C107" s="6">
        <v>9</v>
      </c>
      <c r="D107" s="7">
        <v>0.3</v>
      </c>
    </row>
    <row r="108" spans="1:4">
      <c r="A108" s="5" t="s">
        <v>26</v>
      </c>
      <c r="B108" s="9">
        <v>5</v>
      </c>
      <c r="C108" s="6">
        <v>12</v>
      </c>
      <c r="D108" s="7">
        <v>0.4</v>
      </c>
    </row>
    <row r="109" spans="1:4">
      <c r="A109" s="5" t="s">
        <v>26</v>
      </c>
      <c r="B109" s="9">
        <v>6</v>
      </c>
      <c r="C109" s="6">
        <v>11</v>
      </c>
      <c r="D109" s="7">
        <v>0.36</v>
      </c>
    </row>
    <row r="110" spans="1:4">
      <c r="A110" s="5" t="s">
        <v>26</v>
      </c>
      <c r="B110" s="9">
        <v>7</v>
      </c>
      <c r="C110" s="6">
        <v>7</v>
      </c>
      <c r="D110" s="7">
        <v>0.23</v>
      </c>
    </row>
    <row r="111" spans="1:4">
      <c r="A111" s="5" t="s">
        <v>26</v>
      </c>
      <c r="B111" s="9">
        <v>8</v>
      </c>
      <c r="C111" s="6">
        <v>4</v>
      </c>
      <c r="D111" s="7">
        <v>0.13</v>
      </c>
    </row>
    <row r="112" spans="1:4">
      <c r="A112" s="5" t="s">
        <v>26</v>
      </c>
      <c r="B112" s="9">
        <v>9</v>
      </c>
      <c r="C112" s="6">
        <v>6</v>
      </c>
      <c r="D112" s="7">
        <v>0.2</v>
      </c>
    </row>
    <row r="113" spans="1:4">
      <c r="A113" s="5" t="s">
        <v>26</v>
      </c>
      <c r="B113" s="9">
        <v>10</v>
      </c>
      <c r="C113" s="6">
        <v>9</v>
      </c>
      <c r="D113" s="7">
        <v>0.3</v>
      </c>
    </row>
    <row r="114" spans="1:4">
      <c r="A114" s="5" t="s">
        <v>26</v>
      </c>
      <c r="B114" s="9">
        <v>11</v>
      </c>
      <c r="C114" s="6">
        <v>11</v>
      </c>
      <c r="D114" s="7">
        <v>0.36</v>
      </c>
    </row>
    <row r="115" spans="1:4">
      <c r="A115" s="5" t="s">
        <v>26</v>
      </c>
      <c r="B115" s="9">
        <v>12</v>
      </c>
      <c r="C115" s="6">
        <v>5</v>
      </c>
      <c r="D115" s="7">
        <v>0.16</v>
      </c>
    </row>
    <row r="116" spans="1:4">
      <c r="A116" s="5" t="s">
        <v>26</v>
      </c>
      <c r="B116" s="9">
        <v>13</v>
      </c>
      <c r="C116" s="6">
        <v>5</v>
      </c>
      <c r="D116" s="7">
        <v>0.16</v>
      </c>
    </row>
    <row r="117" spans="1:4">
      <c r="A117" s="5" t="s">
        <v>26</v>
      </c>
      <c r="B117" s="9">
        <v>14</v>
      </c>
      <c r="C117" s="6">
        <v>7</v>
      </c>
      <c r="D117" s="7">
        <v>0.23</v>
      </c>
    </row>
    <row r="118" spans="1:4">
      <c r="A118" s="5" t="s">
        <v>27</v>
      </c>
      <c r="B118" s="9">
        <v>0</v>
      </c>
      <c r="C118" s="6">
        <v>3752</v>
      </c>
      <c r="D118" s="7">
        <v>100</v>
      </c>
    </row>
    <row r="119" spans="1:4">
      <c r="A119" s="5" t="s">
        <v>27</v>
      </c>
      <c r="B119" s="9">
        <v>1</v>
      </c>
      <c r="C119" s="6">
        <v>20</v>
      </c>
      <c r="D119" s="7">
        <v>0.53</v>
      </c>
    </row>
    <row r="120" spans="1:4">
      <c r="A120" s="5" t="s">
        <v>27</v>
      </c>
      <c r="B120" s="9">
        <v>2</v>
      </c>
      <c r="C120" s="6">
        <v>13</v>
      </c>
      <c r="D120" s="7">
        <v>0.35</v>
      </c>
    </row>
    <row r="121" spans="1:4">
      <c r="A121" s="5" t="s">
        <v>27</v>
      </c>
      <c r="B121" s="9">
        <v>3</v>
      </c>
      <c r="C121" s="6">
        <v>9</v>
      </c>
      <c r="D121" s="7">
        <v>0.24</v>
      </c>
    </row>
    <row r="122" spans="1:4">
      <c r="A122" s="5" t="s">
        <v>27</v>
      </c>
      <c r="B122" s="9">
        <v>4</v>
      </c>
      <c r="C122" s="6">
        <v>11</v>
      </c>
      <c r="D122" s="7">
        <v>0.29</v>
      </c>
    </row>
    <row r="123" spans="1:4">
      <c r="A123" s="5" t="s">
        <v>27</v>
      </c>
      <c r="B123" s="9">
        <v>5</v>
      </c>
      <c r="C123" s="6">
        <v>8</v>
      </c>
      <c r="D123" s="7">
        <v>0.21</v>
      </c>
    </row>
    <row r="124" spans="1:4">
      <c r="A124" s="5" t="s">
        <v>27</v>
      </c>
      <c r="B124" s="9">
        <v>6</v>
      </c>
      <c r="C124" s="6">
        <v>12</v>
      </c>
      <c r="D124" s="7">
        <v>0.32</v>
      </c>
    </row>
    <row r="125" spans="1:4">
      <c r="A125" s="5" t="s">
        <v>27</v>
      </c>
      <c r="B125" s="9">
        <v>7</v>
      </c>
      <c r="C125" s="6">
        <v>4</v>
      </c>
      <c r="D125" s="7">
        <v>0.11</v>
      </c>
    </row>
    <row r="126" spans="1:4">
      <c r="A126" s="5" t="s">
        <v>27</v>
      </c>
      <c r="B126" s="9">
        <v>8</v>
      </c>
      <c r="C126" s="6">
        <v>7</v>
      </c>
      <c r="D126" s="7">
        <v>0.19</v>
      </c>
    </row>
    <row r="127" spans="1:4">
      <c r="A127" s="5" t="s">
        <v>27</v>
      </c>
      <c r="B127" s="9">
        <v>9</v>
      </c>
      <c r="C127" s="6">
        <v>10</v>
      </c>
      <c r="D127" s="7">
        <v>0.27</v>
      </c>
    </row>
    <row r="128" spans="1:4">
      <c r="A128" s="5" t="s">
        <v>27</v>
      </c>
      <c r="B128" s="9">
        <v>10</v>
      </c>
      <c r="C128" s="6">
        <v>8</v>
      </c>
      <c r="D128" s="7">
        <v>0.21</v>
      </c>
    </row>
    <row r="129" spans="1:4">
      <c r="A129" s="5" t="s">
        <v>27</v>
      </c>
      <c r="B129" s="9">
        <v>11</v>
      </c>
      <c r="C129" s="6">
        <v>11</v>
      </c>
      <c r="D129" s="7">
        <v>0.29</v>
      </c>
    </row>
    <row r="130" spans="1:4">
      <c r="A130" s="5" t="s">
        <v>27</v>
      </c>
      <c r="B130" s="9">
        <v>12</v>
      </c>
      <c r="C130" s="6">
        <v>5</v>
      </c>
      <c r="D130" s="7">
        <v>0.13</v>
      </c>
    </row>
    <row r="131" spans="1:4">
      <c r="A131" s="5" t="s">
        <v>27</v>
      </c>
      <c r="B131" s="9">
        <v>13</v>
      </c>
      <c r="C131" s="6">
        <v>9</v>
      </c>
      <c r="D131" s="7">
        <v>0.24</v>
      </c>
    </row>
    <row r="132" spans="1:4">
      <c r="A132" s="5" t="s">
        <v>28</v>
      </c>
      <c r="B132" s="9">
        <v>0</v>
      </c>
      <c r="C132" s="6">
        <v>4057</v>
      </c>
      <c r="D132" s="7">
        <v>100</v>
      </c>
    </row>
    <row r="133" spans="1:4">
      <c r="A133" s="5" t="s">
        <v>28</v>
      </c>
      <c r="B133" s="9">
        <v>1</v>
      </c>
      <c r="C133" s="6">
        <v>28</v>
      </c>
      <c r="D133" s="7">
        <v>0.69</v>
      </c>
    </row>
    <row r="134" spans="1:4">
      <c r="A134" s="5" t="s">
        <v>28</v>
      </c>
      <c r="B134" s="9">
        <v>2</v>
      </c>
      <c r="C134" s="6">
        <v>14</v>
      </c>
      <c r="D134" s="7">
        <v>0.35</v>
      </c>
    </row>
    <row r="135" spans="1:4">
      <c r="A135" s="5" t="s">
        <v>28</v>
      </c>
      <c r="B135" s="9">
        <v>3</v>
      </c>
      <c r="C135" s="6">
        <v>11</v>
      </c>
      <c r="D135" s="7">
        <v>0.27</v>
      </c>
    </row>
    <row r="136" spans="1:4">
      <c r="A136" s="5" t="s">
        <v>28</v>
      </c>
      <c r="B136" s="9">
        <v>4</v>
      </c>
      <c r="C136" s="6">
        <v>14</v>
      </c>
      <c r="D136" s="7">
        <v>0.35</v>
      </c>
    </row>
    <row r="137" spans="1:4">
      <c r="A137" s="5" t="s">
        <v>28</v>
      </c>
      <c r="B137" s="9">
        <v>5</v>
      </c>
      <c r="C137" s="6">
        <v>21</v>
      </c>
      <c r="D137" s="7">
        <v>0.52</v>
      </c>
    </row>
    <row r="138" spans="1:4">
      <c r="A138" s="5" t="s">
        <v>28</v>
      </c>
      <c r="B138" s="9">
        <v>6</v>
      </c>
      <c r="C138" s="6">
        <v>12</v>
      </c>
      <c r="D138" s="7">
        <v>0.3</v>
      </c>
    </row>
    <row r="139" spans="1:4">
      <c r="A139" s="5" t="s">
        <v>28</v>
      </c>
      <c r="B139" s="9">
        <v>7</v>
      </c>
      <c r="C139" s="6">
        <v>11</v>
      </c>
      <c r="D139" s="7">
        <v>0.27</v>
      </c>
    </row>
    <row r="140" spans="1:4">
      <c r="A140" s="5" t="s">
        <v>28</v>
      </c>
      <c r="B140" s="9">
        <v>8</v>
      </c>
      <c r="C140" s="6">
        <v>6</v>
      </c>
      <c r="D140" s="7">
        <v>0.15</v>
      </c>
    </row>
    <row r="141" spans="1:4">
      <c r="A141" s="5" t="s">
        <v>28</v>
      </c>
      <c r="B141" s="9">
        <v>9</v>
      </c>
      <c r="C141" s="6">
        <v>6</v>
      </c>
      <c r="D141" s="7">
        <v>0.15</v>
      </c>
    </row>
    <row r="142" spans="1:4">
      <c r="A142" s="5" t="s">
        <v>28</v>
      </c>
      <c r="B142" s="9">
        <v>10</v>
      </c>
      <c r="C142" s="6">
        <v>10</v>
      </c>
      <c r="D142" s="7">
        <v>0.25</v>
      </c>
    </row>
    <row r="143" spans="1:4">
      <c r="A143" s="5" t="s">
        <v>28</v>
      </c>
      <c r="B143" s="9">
        <v>11</v>
      </c>
      <c r="C143" s="6">
        <v>8</v>
      </c>
      <c r="D143" s="7">
        <v>0.2</v>
      </c>
    </row>
    <row r="144" spans="1:4">
      <c r="A144" s="5" t="s">
        <v>28</v>
      </c>
      <c r="B144" s="9">
        <v>12</v>
      </c>
      <c r="C144" s="6">
        <v>5</v>
      </c>
      <c r="D144" s="7">
        <v>0.12</v>
      </c>
    </row>
    <row r="145" spans="1:4">
      <c r="A145" s="5" t="s">
        <v>29</v>
      </c>
      <c r="B145" s="9">
        <v>0</v>
      </c>
      <c r="C145" s="6">
        <v>4004</v>
      </c>
      <c r="D145" s="7">
        <v>100</v>
      </c>
    </row>
    <row r="146" spans="1:4">
      <c r="A146" s="5" t="s">
        <v>29</v>
      </c>
      <c r="B146" s="9">
        <v>1</v>
      </c>
      <c r="C146" s="6">
        <v>28</v>
      </c>
      <c r="D146" s="7">
        <v>0.7</v>
      </c>
    </row>
    <row r="147" spans="1:4">
      <c r="A147" s="5" t="s">
        <v>29</v>
      </c>
      <c r="B147" s="9">
        <v>2</v>
      </c>
      <c r="C147" s="6">
        <v>22</v>
      </c>
      <c r="D147" s="7">
        <v>0.55</v>
      </c>
    </row>
    <row r="148" spans="1:4">
      <c r="A148" s="5" t="s">
        <v>29</v>
      </c>
      <c r="B148" s="9">
        <v>3</v>
      </c>
      <c r="C148" s="6">
        <v>11</v>
      </c>
      <c r="D148" s="7">
        <v>0.27</v>
      </c>
    </row>
    <row r="149" spans="1:4">
      <c r="A149" s="5" t="s">
        <v>29</v>
      </c>
      <c r="B149" s="9">
        <v>4</v>
      </c>
      <c r="C149" s="6">
        <v>18</v>
      </c>
      <c r="D149" s="7">
        <v>0.45</v>
      </c>
    </row>
    <row r="150" spans="1:4">
      <c r="A150" s="5" t="s">
        <v>29</v>
      </c>
      <c r="B150" s="9">
        <v>5</v>
      </c>
      <c r="C150" s="6">
        <v>9</v>
      </c>
      <c r="D150" s="7">
        <v>0.22</v>
      </c>
    </row>
    <row r="151" spans="1:4">
      <c r="A151" s="5" t="s">
        <v>29</v>
      </c>
      <c r="B151" s="9">
        <v>6</v>
      </c>
      <c r="C151" s="6">
        <v>9</v>
      </c>
      <c r="D151" s="7">
        <v>0.22</v>
      </c>
    </row>
    <row r="152" spans="1:4">
      <c r="A152" s="5" t="s">
        <v>29</v>
      </c>
      <c r="B152" s="9">
        <v>7</v>
      </c>
      <c r="C152" s="6">
        <v>10</v>
      </c>
      <c r="D152" s="7">
        <v>0.25</v>
      </c>
    </row>
    <row r="153" spans="1:4">
      <c r="A153" s="5" t="s">
        <v>29</v>
      </c>
      <c r="B153" s="9">
        <v>8</v>
      </c>
      <c r="C153" s="6">
        <v>11</v>
      </c>
      <c r="D153" s="7">
        <v>0.27</v>
      </c>
    </row>
    <row r="154" spans="1:4">
      <c r="A154" s="5" t="s">
        <v>29</v>
      </c>
      <c r="B154" s="9">
        <v>9</v>
      </c>
      <c r="C154" s="6">
        <v>7</v>
      </c>
      <c r="D154" s="7">
        <v>0.17</v>
      </c>
    </row>
    <row r="155" spans="1:4">
      <c r="A155" s="5" t="s">
        <v>29</v>
      </c>
      <c r="B155" s="9">
        <v>10</v>
      </c>
      <c r="C155" s="6">
        <v>10</v>
      </c>
      <c r="D155" s="7">
        <v>0.25</v>
      </c>
    </row>
    <row r="156" spans="1:4">
      <c r="A156" s="5" t="s">
        <v>29</v>
      </c>
      <c r="B156" s="9">
        <v>11</v>
      </c>
      <c r="C156" s="6">
        <v>3</v>
      </c>
      <c r="D156" s="7">
        <v>0.07</v>
      </c>
    </row>
    <row r="157" spans="1:4">
      <c r="A157" s="5" t="s">
        <v>30</v>
      </c>
      <c r="B157" s="9">
        <v>0</v>
      </c>
      <c r="C157" s="6">
        <v>4328</v>
      </c>
      <c r="D157" s="7">
        <v>100</v>
      </c>
    </row>
    <row r="158" spans="1:4">
      <c r="A158" s="5" t="s">
        <v>30</v>
      </c>
      <c r="B158" s="9">
        <v>1</v>
      </c>
      <c r="C158" s="6">
        <v>31</v>
      </c>
      <c r="D158" s="7">
        <v>0.72</v>
      </c>
    </row>
    <row r="159" spans="1:4">
      <c r="A159" s="5" t="s">
        <v>30</v>
      </c>
      <c r="B159" s="9">
        <v>2</v>
      </c>
      <c r="C159" s="6">
        <v>11</v>
      </c>
      <c r="D159" s="7">
        <v>0.25</v>
      </c>
    </row>
    <row r="160" spans="1:4">
      <c r="A160" s="5" t="s">
        <v>30</v>
      </c>
      <c r="B160" s="9">
        <v>3</v>
      </c>
      <c r="C160" s="6">
        <v>4</v>
      </c>
      <c r="D160" s="7">
        <v>0.09</v>
      </c>
    </row>
    <row r="161" spans="1:4">
      <c r="A161" s="5" t="s">
        <v>30</v>
      </c>
      <c r="B161" s="9">
        <v>4</v>
      </c>
      <c r="C161" s="6">
        <v>10</v>
      </c>
      <c r="D161" s="7">
        <v>0.23</v>
      </c>
    </row>
    <row r="162" spans="1:4">
      <c r="A162" s="5" t="s">
        <v>30</v>
      </c>
      <c r="B162" s="9">
        <v>5</v>
      </c>
      <c r="C162" s="6">
        <v>9</v>
      </c>
      <c r="D162" s="7">
        <v>0.21</v>
      </c>
    </row>
    <row r="163" spans="1:4">
      <c r="A163" s="5" t="s">
        <v>30</v>
      </c>
      <c r="B163" s="9">
        <v>6</v>
      </c>
      <c r="C163" s="6">
        <v>9</v>
      </c>
      <c r="D163" s="7">
        <v>0.21</v>
      </c>
    </row>
    <row r="164" spans="1:4">
      <c r="A164" s="5" t="s">
        <v>30</v>
      </c>
      <c r="B164" s="9">
        <v>7</v>
      </c>
      <c r="C164" s="6">
        <v>16</v>
      </c>
      <c r="D164" s="7">
        <v>0.37</v>
      </c>
    </row>
    <row r="165" spans="1:4">
      <c r="A165" s="5" t="s">
        <v>30</v>
      </c>
      <c r="B165" s="9">
        <v>8</v>
      </c>
      <c r="C165" s="6">
        <v>12</v>
      </c>
      <c r="D165" s="7">
        <v>0.28</v>
      </c>
    </row>
    <row r="166" spans="1:4">
      <c r="A166" s="5" t="s">
        <v>30</v>
      </c>
      <c r="B166" s="9">
        <v>9</v>
      </c>
      <c r="C166" s="6">
        <v>8</v>
      </c>
      <c r="D166" s="7">
        <v>0.18</v>
      </c>
    </row>
    <row r="167" spans="1:4">
      <c r="A167" s="5" t="s">
        <v>30</v>
      </c>
      <c r="B167" s="9">
        <v>10</v>
      </c>
      <c r="C167" s="6">
        <v>9</v>
      </c>
      <c r="D167" s="7">
        <v>0.21</v>
      </c>
    </row>
    <row r="168" spans="1:4">
      <c r="A168" s="5" t="s">
        <v>31</v>
      </c>
      <c r="B168" s="9">
        <v>0</v>
      </c>
      <c r="C168" s="6">
        <v>7060</v>
      </c>
      <c r="D168" s="7">
        <v>100</v>
      </c>
    </row>
    <row r="169" spans="1:4">
      <c r="A169" s="5" t="s">
        <v>31</v>
      </c>
      <c r="B169" s="9">
        <v>1</v>
      </c>
      <c r="C169" s="6">
        <v>40</v>
      </c>
      <c r="D169" s="7">
        <v>0.57</v>
      </c>
    </row>
    <row r="170" spans="1:4">
      <c r="A170" s="5" t="s">
        <v>31</v>
      </c>
      <c r="B170" s="9">
        <v>2</v>
      </c>
      <c r="C170" s="6">
        <v>26</v>
      </c>
      <c r="D170" s="7">
        <v>0.37</v>
      </c>
    </row>
    <row r="171" spans="1:4">
      <c r="A171" s="5" t="s">
        <v>31</v>
      </c>
      <c r="B171" s="9">
        <v>3</v>
      </c>
      <c r="C171" s="6">
        <v>12</v>
      </c>
      <c r="D171" s="7">
        <v>0.17</v>
      </c>
    </row>
    <row r="172" spans="1:4">
      <c r="A172" s="5" t="s">
        <v>31</v>
      </c>
      <c r="B172" s="9">
        <v>4</v>
      </c>
      <c r="C172" s="6">
        <v>12</v>
      </c>
      <c r="D172" s="7">
        <v>0.17</v>
      </c>
    </row>
    <row r="173" spans="1:4">
      <c r="A173" s="5" t="s">
        <v>31</v>
      </c>
      <c r="B173" s="9">
        <v>5</v>
      </c>
      <c r="C173" s="6">
        <v>13</v>
      </c>
      <c r="D173" s="7">
        <v>0.18</v>
      </c>
    </row>
    <row r="174" spans="1:4">
      <c r="A174" s="5" t="s">
        <v>31</v>
      </c>
      <c r="B174" s="9">
        <v>6</v>
      </c>
      <c r="C174" s="6">
        <v>8</v>
      </c>
      <c r="D174" s="7">
        <v>0.11</v>
      </c>
    </row>
    <row r="175" spans="1:4">
      <c r="A175" s="5" t="s">
        <v>31</v>
      </c>
      <c r="B175" s="9">
        <v>7</v>
      </c>
      <c r="C175" s="6">
        <v>13</v>
      </c>
      <c r="D175" s="7">
        <v>0.18</v>
      </c>
    </row>
    <row r="176" spans="1:4">
      <c r="A176" s="5" t="s">
        <v>31</v>
      </c>
      <c r="B176" s="9">
        <v>8</v>
      </c>
      <c r="C176" s="6">
        <v>9</v>
      </c>
      <c r="D176" s="7">
        <v>0.13</v>
      </c>
    </row>
    <row r="177" spans="1:4">
      <c r="A177" s="5" t="s">
        <v>31</v>
      </c>
      <c r="B177" s="9">
        <v>9</v>
      </c>
      <c r="C177" s="6">
        <v>4</v>
      </c>
      <c r="D177" s="7">
        <v>0.06</v>
      </c>
    </row>
    <row r="178" spans="1:4">
      <c r="A178" s="5" t="s">
        <v>32</v>
      </c>
      <c r="B178" s="9">
        <v>0</v>
      </c>
      <c r="C178" s="6">
        <v>5338</v>
      </c>
      <c r="D178" s="7">
        <v>100</v>
      </c>
    </row>
    <row r="179" spans="1:4">
      <c r="A179" s="5" t="s">
        <v>32</v>
      </c>
      <c r="B179" s="9">
        <v>1</v>
      </c>
      <c r="C179" s="6">
        <v>11</v>
      </c>
      <c r="D179" s="7">
        <v>0.21</v>
      </c>
    </row>
    <row r="180" spans="1:4">
      <c r="A180" s="5" t="s">
        <v>32</v>
      </c>
      <c r="B180" s="9">
        <v>2</v>
      </c>
      <c r="C180" s="6">
        <v>15</v>
      </c>
      <c r="D180" s="7">
        <v>0.28</v>
      </c>
    </row>
    <row r="181" spans="1:4">
      <c r="A181" s="5" t="s">
        <v>32</v>
      </c>
      <c r="B181" s="9">
        <v>3</v>
      </c>
      <c r="C181" s="6">
        <v>18</v>
      </c>
      <c r="D181" s="7">
        <v>0.34</v>
      </c>
    </row>
    <row r="182" spans="1:4">
      <c r="A182" s="5" t="s">
        <v>32</v>
      </c>
      <c r="B182" s="9">
        <v>4</v>
      </c>
      <c r="C182" s="6">
        <v>14</v>
      </c>
      <c r="D182" s="7">
        <v>0.26</v>
      </c>
    </row>
    <row r="183" spans="1:4">
      <c r="A183" s="5" t="s">
        <v>32</v>
      </c>
      <c r="B183" s="9">
        <v>5</v>
      </c>
      <c r="C183" s="6">
        <v>11</v>
      </c>
      <c r="D183" s="7">
        <v>0.21</v>
      </c>
    </row>
    <row r="184" spans="1:4">
      <c r="A184" s="5" t="s">
        <v>32</v>
      </c>
      <c r="B184" s="9">
        <v>6</v>
      </c>
      <c r="C184" s="6">
        <v>9</v>
      </c>
      <c r="D184" s="7">
        <v>0.17</v>
      </c>
    </row>
    <row r="185" spans="1:4">
      <c r="A185" s="5" t="s">
        <v>32</v>
      </c>
      <c r="B185" s="9">
        <v>7</v>
      </c>
      <c r="C185" s="6">
        <v>1</v>
      </c>
      <c r="D185" s="7">
        <v>0.02</v>
      </c>
    </row>
    <row r="186" spans="1:4">
      <c r="A186" s="5" t="s">
        <v>32</v>
      </c>
      <c r="B186" s="9">
        <v>8</v>
      </c>
      <c r="C186" s="6">
        <v>10</v>
      </c>
      <c r="D186" s="7">
        <v>0.19</v>
      </c>
    </row>
    <row r="187" spans="1:4">
      <c r="A187" s="5" t="s">
        <v>33</v>
      </c>
      <c r="B187" s="9">
        <v>0</v>
      </c>
      <c r="C187" s="6">
        <v>6842</v>
      </c>
      <c r="D187" s="7">
        <v>100</v>
      </c>
    </row>
    <row r="188" spans="1:4">
      <c r="A188" s="5" t="s">
        <v>33</v>
      </c>
      <c r="B188" s="9">
        <v>1</v>
      </c>
      <c r="C188" s="6">
        <v>23</v>
      </c>
      <c r="D188" s="7">
        <v>0.34</v>
      </c>
    </row>
    <row r="189" spans="1:4">
      <c r="A189" s="5" t="s">
        <v>33</v>
      </c>
      <c r="B189" s="9">
        <v>2</v>
      </c>
      <c r="C189" s="6">
        <v>25</v>
      </c>
      <c r="D189" s="7">
        <v>0.37</v>
      </c>
    </row>
    <row r="190" spans="1:4">
      <c r="A190" s="5" t="s">
        <v>33</v>
      </c>
      <c r="B190" s="9">
        <v>3</v>
      </c>
      <c r="C190" s="6">
        <v>20</v>
      </c>
      <c r="D190" s="7">
        <v>0.29</v>
      </c>
    </row>
    <row r="191" spans="1:4">
      <c r="A191" s="5" t="s">
        <v>33</v>
      </c>
      <c r="B191" s="9">
        <v>4</v>
      </c>
      <c r="C191" s="6">
        <v>20</v>
      </c>
      <c r="D191" s="7">
        <v>0.29</v>
      </c>
    </row>
    <row r="192" spans="1:4">
      <c r="A192" s="5" t="s">
        <v>33</v>
      </c>
      <c r="B192" s="9">
        <v>5</v>
      </c>
      <c r="C192" s="6">
        <v>11</v>
      </c>
      <c r="D192" s="7">
        <v>0.16</v>
      </c>
    </row>
    <row r="193" spans="1:4">
      <c r="A193" s="5" t="s">
        <v>33</v>
      </c>
      <c r="B193" s="9">
        <v>6</v>
      </c>
      <c r="C193" s="6">
        <v>12</v>
      </c>
      <c r="D193" s="7">
        <v>0.18</v>
      </c>
    </row>
    <row r="194" spans="1:4">
      <c r="A194" s="5" t="s">
        <v>33</v>
      </c>
      <c r="B194" s="9">
        <v>7</v>
      </c>
      <c r="C194" s="6">
        <v>16</v>
      </c>
      <c r="D194" s="7">
        <v>0.23</v>
      </c>
    </row>
    <row r="195" spans="1:4">
      <c r="A195" s="5" t="s">
        <v>34</v>
      </c>
      <c r="B195" s="9">
        <v>0</v>
      </c>
      <c r="C195" s="6">
        <v>6288</v>
      </c>
      <c r="D195" s="7">
        <v>100</v>
      </c>
    </row>
    <row r="196" spans="1:4">
      <c r="A196" s="5" t="s">
        <v>34</v>
      </c>
      <c r="B196" s="9">
        <v>1</v>
      </c>
      <c r="C196" s="6">
        <v>22</v>
      </c>
      <c r="D196" s="7">
        <v>0.35</v>
      </c>
    </row>
    <row r="197" spans="1:4">
      <c r="A197" s="5" t="s">
        <v>34</v>
      </c>
      <c r="B197" s="9">
        <v>2</v>
      </c>
      <c r="C197" s="6">
        <v>25</v>
      </c>
      <c r="D197" s="7">
        <v>0.4</v>
      </c>
    </row>
    <row r="198" spans="1:4">
      <c r="A198" s="5" t="s">
        <v>34</v>
      </c>
      <c r="B198" s="9">
        <v>3</v>
      </c>
      <c r="C198" s="6">
        <v>19</v>
      </c>
      <c r="D198" s="7">
        <v>0.3</v>
      </c>
    </row>
    <row r="199" spans="1:4">
      <c r="A199" s="5" t="s">
        <v>34</v>
      </c>
      <c r="B199" s="9">
        <v>4</v>
      </c>
      <c r="C199" s="6">
        <v>16</v>
      </c>
      <c r="D199" s="7">
        <v>0.25</v>
      </c>
    </row>
    <row r="200" spans="1:4">
      <c r="A200" s="5" t="s">
        <v>34</v>
      </c>
      <c r="B200" s="9">
        <v>5</v>
      </c>
      <c r="C200" s="6">
        <v>14</v>
      </c>
      <c r="D200" s="7">
        <v>0.22</v>
      </c>
    </row>
    <row r="201" spans="1:4">
      <c r="A201" s="5" t="s">
        <v>34</v>
      </c>
      <c r="B201" s="9">
        <v>6</v>
      </c>
      <c r="C201" s="6">
        <v>13</v>
      </c>
      <c r="D201" s="7">
        <v>0.21</v>
      </c>
    </row>
    <row r="202" spans="1:4">
      <c r="A202" s="5" t="s">
        <v>35</v>
      </c>
      <c r="B202" s="9">
        <v>0</v>
      </c>
      <c r="C202" s="6">
        <v>6774</v>
      </c>
      <c r="D202" s="7">
        <v>100</v>
      </c>
    </row>
    <row r="203" spans="1:4">
      <c r="A203" s="5" t="s">
        <v>35</v>
      </c>
      <c r="B203" s="9">
        <v>1</v>
      </c>
      <c r="C203" s="6">
        <v>27</v>
      </c>
      <c r="D203" s="7">
        <v>0.4</v>
      </c>
    </row>
    <row r="204" spans="1:4">
      <c r="A204" s="5" t="s">
        <v>35</v>
      </c>
      <c r="B204" s="9">
        <v>2</v>
      </c>
      <c r="C204" s="6">
        <v>20</v>
      </c>
      <c r="D204" s="7">
        <v>0.3</v>
      </c>
    </row>
    <row r="205" spans="1:4">
      <c r="A205" s="5" t="s">
        <v>35</v>
      </c>
      <c r="B205" s="9">
        <v>3</v>
      </c>
      <c r="C205" s="6">
        <v>20</v>
      </c>
      <c r="D205" s="7">
        <v>0.3</v>
      </c>
    </row>
    <row r="206" spans="1:4">
      <c r="A206" s="5" t="s">
        <v>35</v>
      </c>
      <c r="B206" s="9">
        <v>4</v>
      </c>
      <c r="C206" s="6">
        <v>8</v>
      </c>
      <c r="D206" s="7">
        <v>0.12</v>
      </c>
    </row>
    <row r="207" spans="1:4">
      <c r="A207" s="5" t="s">
        <v>35</v>
      </c>
      <c r="B207" s="9">
        <v>5</v>
      </c>
      <c r="C207" s="6">
        <v>8</v>
      </c>
      <c r="D207" s="7">
        <v>0.12</v>
      </c>
    </row>
    <row r="208" spans="1:4">
      <c r="A208" s="5" t="s">
        <v>36</v>
      </c>
      <c r="B208" s="9">
        <v>0</v>
      </c>
      <c r="C208" s="6">
        <v>6582</v>
      </c>
      <c r="D208" s="7">
        <v>100</v>
      </c>
    </row>
    <row r="209" spans="1:4">
      <c r="A209" s="5" t="s">
        <v>36</v>
      </c>
      <c r="B209" s="9">
        <v>1</v>
      </c>
      <c r="C209" s="6">
        <v>39</v>
      </c>
      <c r="D209" s="7">
        <v>0.59</v>
      </c>
    </row>
    <row r="210" spans="1:4">
      <c r="A210" s="5" t="s">
        <v>36</v>
      </c>
      <c r="B210" s="9">
        <v>2</v>
      </c>
      <c r="C210" s="6">
        <v>20</v>
      </c>
      <c r="D210" s="7">
        <v>0.3</v>
      </c>
    </row>
    <row r="211" spans="1:4">
      <c r="A211" s="5" t="s">
        <v>36</v>
      </c>
      <c r="B211" s="9">
        <v>3</v>
      </c>
      <c r="C211" s="6">
        <v>16</v>
      </c>
      <c r="D211" s="7">
        <v>0.24</v>
      </c>
    </row>
    <row r="212" spans="1:4">
      <c r="A212" s="5" t="s">
        <v>36</v>
      </c>
      <c r="B212" s="9">
        <v>4</v>
      </c>
      <c r="C212" s="6">
        <v>9</v>
      </c>
      <c r="D212" s="7">
        <v>0.14</v>
      </c>
    </row>
    <row r="213" spans="1:4">
      <c r="A213" s="5" t="s">
        <v>37</v>
      </c>
      <c r="B213" s="9">
        <v>0</v>
      </c>
      <c r="C213" s="6">
        <v>6506</v>
      </c>
      <c r="D213" s="7">
        <v>100</v>
      </c>
    </row>
    <row r="214" spans="1:4">
      <c r="A214" s="5" t="s">
        <v>37</v>
      </c>
      <c r="B214" s="9">
        <v>1</v>
      </c>
      <c r="C214" s="6">
        <v>34</v>
      </c>
      <c r="D214" s="7">
        <v>0.52</v>
      </c>
    </row>
    <row r="215" spans="1:4">
      <c r="A215" s="5" t="s">
        <v>37</v>
      </c>
      <c r="B215" s="9">
        <v>2</v>
      </c>
      <c r="C215" s="6">
        <v>17</v>
      </c>
      <c r="D215" s="7">
        <v>0.26</v>
      </c>
    </row>
    <row r="216" spans="1:4">
      <c r="A216" s="5" t="s">
        <v>37</v>
      </c>
      <c r="B216" s="9">
        <v>3</v>
      </c>
      <c r="C216" s="6">
        <v>12</v>
      </c>
      <c r="D216" s="7">
        <v>0.18</v>
      </c>
    </row>
    <row r="217" spans="1:4">
      <c r="A217" s="5" t="s">
        <v>38</v>
      </c>
      <c r="B217" s="9">
        <v>0</v>
      </c>
      <c r="C217" s="6">
        <v>5878</v>
      </c>
      <c r="D217" s="7">
        <v>100</v>
      </c>
    </row>
    <row r="218" spans="1:4">
      <c r="A218" s="5" t="s">
        <v>38</v>
      </c>
      <c r="B218" s="9">
        <v>1</v>
      </c>
      <c r="C218" s="6">
        <v>25</v>
      </c>
      <c r="D218" s="7">
        <v>0.43</v>
      </c>
    </row>
    <row r="219" spans="1:4">
      <c r="A219" s="5" t="s">
        <v>38</v>
      </c>
      <c r="B219" s="9">
        <v>2</v>
      </c>
      <c r="C219" s="6">
        <v>16</v>
      </c>
      <c r="D219" s="7">
        <v>0.27</v>
      </c>
    </row>
    <row r="220" spans="1:4">
      <c r="A220" s="5" t="s">
        <v>39</v>
      </c>
      <c r="B220" s="9">
        <v>0</v>
      </c>
      <c r="C220" s="6">
        <v>5949</v>
      </c>
      <c r="D220" s="7">
        <v>100</v>
      </c>
    </row>
    <row r="221" spans="1:4">
      <c r="A221" s="5" t="s">
        <v>39</v>
      </c>
      <c r="B221" s="9">
        <v>1</v>
      </c>
      <c r="C221" s="6">
        <v>31</v>
      </c>
      <c r="D221" s="7">
        <v>0.52</v>
      </c>
    </row>
    <row r="222" spans="1:4">
      <c r="A222" s="5" t="s">
        <v>40</v>
      </c>
      <c r="B222" s="9">
        <v>0</v>
      </c>
      <c r="C222" s="6">
        <v>6144</v>
      </c>
      <c r="D222" s="7">
        <v>100</v>
      </c>
    </row>
  </sheetData>
  <pageMargins left="0.75" right="0.75" top="1" bottom="1" header="0.5" footer="0.5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J9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5"/>
  <cols>
    <col min="1" max="1" width="34" customWidth="1"/>
    <col min="2" max="2" width="12" customWidth="1"/>
    <col min="3" max="4" width="19" customWidth="1"/>
    <col min="5" max="5" width="13" customWidth="1"/>
    <col min="6" max="6" width="12" customWidth="1"/>
    <col min="7" max="7" width="16" customWidth="1"/>
    <col min="8" max="8" width="17" customWidth="1"/>
    <col min="10" max="10" width="26" customWidth="1"/>
  </cols>
  <sheetData>
    <row r="1" ht="16.5" spans="1:10">
      <c r="A1" s="1" t="s">
        <v>320</v>
      </c>
    </row>
    <row r="2" spans="1:10">
      <c r="A2" s="2" t="s">
        <v>321</v>
      </c>
    </row>
    <row r="3" ht="30" customHeight="1" spans="1:10">
      <c r="A3" s="3" t="s">
        <v>322</v>
      </c>
      <c r="B3" s="3" t="s">
        <v>206</v>
      </c>
      <c r="C3" s="3" t="s">
        <v>309</v>
      </c>
      <c r="D3" s="3" t="s">
        <v>323</v>
      </c>
      <c r="E3" s="3" t="s">
        <v>324</v>
      </c>
      <c r="F3" s="3" t="s">
        <v>325</v>
      </c>
      <c r="G3" s="3" t="s">
        <v>67</v>
      </c>
      <c r="H3" s="3" t="s">
        <v>326</v>
      </c>
      <c r="J3" s="4" t="s">
        <v>327</v>
      </c>
    </row>
    <row r="4" spans="1:10">
      <c r="A4" s="5" t="s">
        <v>328</v>
      </c>
      <c r="B4" s="6">
        <v>15362</v>
      </c>
      <c r="C4" s="7">
        <v>16.45</v>
      </c>
      <c r="D4" s="7">
        <v>91</v>
      </c>
      <c r="E4" s="6">
        <v>1.07</v>
      </c>
      <c r="F4" s="8">
        <v>271.26</v>
      </c>
      <c r="G4" s="8">
        <v>4167112.28</v>
      </c>
      <c r="H4" s="7">
        <v>31.52</v>
      </c>
      <c r="J4" s="5" t="str">
        <f t="shared" ref="J4:J9" si="0">LEFT(A4,FIND(" (",A4&amp;" (")-1)</f>
        <v>Champions</v>
      </c>
    </row>
    <row r="5" spans="1:10">
      <c r="A5" s="5" t="s">
        <v>329</v>
      </c>
      <c r="B5" s="6">
        <v>14563</v>
      </c>
      <c r="C5" s="7">
        <v>15.6</v>
      </c>
      <c r="D5" s="7">
        <v>394</v>
      </c>
      <c r="E5" s="6">
        <v>1.05</v>
      </c>
      <c r="F5" s="8">
        <v>278.08</v>
      </c>
      <c r="G5" s="8">
        <v>4049679.29</v>
      </c>
      <c r="H5" s="7">
        <v>30.63</v>
      </c>
      <c r="J5" s="5" t="str">
        <f t="shared" si="0"/>
        <v>At risk big spenders</v>
      </c>
    </row>
    <row r="6" spans="1:10">
      <c r="A6" s="5" t="s">
        <v>330</v>
      </c>
      <c r="B6" s="6">
        <v>25461</v>
      </c>
      <c r="C6" s="7">
        <v>27.27</v>
      </c>
      <c r="D6" s="7">
        <v>269</v>
      </c>
      <c r="E6" s="6">
        <v>1.01</v>
      </c>
      <c r="F6" s="8">
        <v>117.99</v>
      </c>
      <c r="G6" s="8">
        <v>3004074.58</v>
      </c>
      <c r="H6" s="7">
        <v>22.72</v>
      </c>
      <c r="J6" s="5" t="str">
        <f t="shared" si="0"/>
        <v>Needs attention</v>
      </c>
    </row>
    <row r="7" spans="1:10">
      <c r="A7" s="5" t="s">
        <v>331</v>
      </c>
      <c r="B7" s="6">
        <v>21710</v>
      </c>
      <c r="C7" s="7">
        <v>23.25</v>
      </c>
      <c r="D7" s="7">
        <v>89</v>
      </c>
      <c r="E7" s="6">
        <v>1</v>
      </c>
      <c r="F7" s="8">
        <v>55.65</v>
      </c>
      <c r="G7" s="8">
        <v>1208205.77</v>
      </c>
      <c r="H7" s="7">
        <v>9.14</v>
      </c>
      <c r="J7" s="5" t="str">
        <f t="shared" si="0"/>
        <v>Promising</v>
      </c>
    </row>
    <row r="8" spans="1:10">
      <c r="A8" s="5" t="s">
        <v>332</v>
      </c>
      <c r="B8" s="6">
        <v>15385</v>
      </c>
      <c r="C8" s="7">
        <v>16.48</v>
      </c>
      <c r="D8" s="7">
        <v>396</v>
      </c>
      <c r="E8" s="6">
        <v>1.01</v>
      </c>
      <c r="F8" s="8">
        <v>40.11</v>
      </c>
      <c r="G8" s="8">
        <v>617074.49</v>
      </c>
      <c r="H8" s="7">
        <v>4.67</v>
      </c>
      <c r="J8" s="5" t="str">
        <f t="shared" si="0"/>
        <v>Lost / low value</v>
      </c>
    </row>
    <row r="9" spans="1:10">
      <c r="A9" s="5" t="s">
        <v>333</v>
      </c>
      <c r="B9" s="6">
        <v>877</v>
      </c>
      <c r="C9" s="7">
        <v>0.94</v>
      </c>
      <c r="D9" s="7">
        <v>177</v>
      </c>
      <c r="E9" s="6">
        <v>2.07</v>
      </c>
      <c r="F9" s="8">
        <v>199.94</v>
      </c>
      <c r="G9" s="8">
        <v>175351.7</v>
      </c>
      <c r="H9" s="7">
        <v>1.33</v>
      </c>
      <c r="J9" s="5" t="str">
        <f t="shared" si="0"/>
        <v>Loyal repeat buyers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One_Page_Dashboard</vt:lpstr>
      <vt:lpstr>Full_Dashboard</vt:lpstr>
      <vt:lpstr>Cohort_Heatmap</vt:lpstr>
      <vt:lpstr>About</vt:lpstr>
      <vt:lpstr>01_KPI_Summary</vt:lpstr>
      <vt:lpstr>02_Order_Status</vt:lpstr>
      <vt:lpstr>03_Monthly_Trend</vt:lpstr>
      <vt:lpstr>04_Yearly_Summary</vt:lpstr>
      <vt:lpstr>05_Weekday_Pattern</vt:lpstr>
      <vt:lpstr>06_Hourly_Pattern</vt:lpstr>
      <vt:lpstr>07_Category_Performance</vt:lpstr>
      <vt:lpstr>08_Pareto_ABC</vt:lpstr>
      <vt:lpstr>09_State_Performance</vt:lpstr>
      <vt:lpstr>10_Payment_Types</vt:lpstr>
      <vt:lpstr>11_Credit_Installments</vt:lpstr>
      <vt:lpstr>12_Delivery_Trend</vt:lpstr>
      <vt:lpstr>13_Late_vs_OnTime</vt:lpstr>
      <vt:lpstr>14_Delay_Buckets</vt:lpstr>
      <vt:lpstr>15_Top_Sellers</vt:lpstr>
      <vt:lpstr>16_Risky_Sellers</vt:lpstr>
      <vt:lpstr>17_Repeat_Customers</vt:lpstr>
      <vt:lpstr>18_Order_Frequency</vt:lpstr>
      <vt:lpstr>19_Cohort_Retention</vt:lpstr>
      <vt:lpstr>20_RFM_Segments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shilpa</cp:lastModifiedBy>
  <dcterms:created xsi:type="dcterms:W3CDTF">2026-10-06T11:06:00Z</dcterms:created>
  <dcterms:modified xsi:type="dcterms:W3CDTF">2026-10-07T06:43:18Z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834E443E1C124EB885B0E3B538664148_12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